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put_data" sheetId="1" state="visible" r:id="rId3"/>
    <sheet name="모집단" sheetId="2" state="visible" r:id="rId4"/>
    <sheet name="집계(검증용)" sheetId="3" state="visible" r:id="rId5"/>
    <sheet name="결과요약(정답)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<sst xmlns="http://schemas.openxmlformats.org/spreadsheetml/2006/main" count="286" uniqueCount="170">
  <si>
    <t xml:space="preserve">번호</t>
  </si>
  <si>
    <r>
      <rPr>
        <b val="true"/>
        <sz val="11"/>
        <color rgb="FFFFFFFF"/>
        <rFont val="Noto Sans CJK SC"/>
        <family val="2"/>
      </rPr>
      <t xml:space="preserve">참여자 </t>
    </r>
    <r>
      <rPr>
        <b val="true"/>
        <sz val="11"/>
        <color rgb="FFFFFFFF"/>
        <rFont val="Arial"/>
        <family val="0"/>
        <charset val="1"/>
      </rPr>
      <t xml:space="preserve">ID</t>
    </r>
  </si>
  <si>
    <t xml:space="preserve">방장 여부</t>
  </si>
  <si>
    <t xml:space="preserve">확인해주세요</t>
  </si>
  <si>
    <r>
      <rPr>
        <b val="true"/>
        <sz val="11"/>
        <color rgb="FFFFFFFF"/>
        <rFont val="Noto Sans CJK SC"/>
        <family val="2"/>
      </rPr>
      <t xml:space="preserve">가능 날짜</t>
    </r>
    <r>
      <rPr>
        <b val="true"/>
        <sz val="11"/>
        <color rgb="FFFFFFFF"/>
        <rFont val="Arial"/>
        <family val="0"/>
        <charset val="1"/>
      </rPr>
      <t xml:space="preserve">·</t>
    </r>
    <r>
      <rPr>
        <b val="true"/>
        <sz val="11"/>
        <color rgb="FFFFFFFF"/>
        <rFont val="Noto Sans CJK SC"/>
        <family val="2"/>
      </rPr>
      <t xml:space="preserve">시간 </t>
    </r>
    <r>
      <rPr>
        <b val="true"/>
        <sz val="11"/>
        <color rgb="FFFFFFFF"/>
        <rFont val="Arial"/>
        <family val="0"/>
        <charset val="1"/>
      </rPr>
      <t xml:space="preserve">(10</t>
    </r>
    <r>
      <rPr>
        <b val="true"/>
        <sz val="11"/>
        <color rgb="FFFFFFFF"/>
        <rFont val="Noto Sans CJK SC"/>
        <family val="2"/>
      </rPr>
      <t xml:space="preserve">월</t>
    </r>
    <r>
      <rPr>
        <b val="true"/>
        <sz val="11"/>
        <color rgb="FFFFFFFF"/>
        <rFont val="Arial"/>
        <family val="0"/>
        <charset val="1"/>
      </rPr>
      <t xml:space="preserve">)</t>
    </r>
  </si>
  <si>
    <t xml:space="preserve">희망 장소</t>
  </si>
  <si>
    <t xml:space="preserve">희망 메뉴</t>
  </si>
  <si>
    <t xml:space="preserve">기피 메뉴</t>
  </si>
  <si>
    <t xml:space="preserve">음주 여부</t>
  </si>
  <si>
    <r>
      <rPr>
        <sz val="11"/>
        <color rgb="FF0000FF"/>
        <rFont val="Noto Sans CJK SC"/>
        <family val="2"/>
      </rPr>
      <t xml:space="preserve">조서윤</t>
    </r>
    <r>
      <rPr>
        <sz val="11"/>
        <color rgb="FF0000FF"/>
        <rFont val="Arial"/>
        <family val="0"/>
        <charset val="1"/>
      </rPr>
      <t xml:space="preserve">2493</t>
    </r>
  </si>
  <si>
    <t xml:space="preserve">방장</t>
  </si>
  <si>
    <r>
      <rPr>
        <sz val="11"/>
        <color rgb="FF0000FF"/>
        <rFont val="Arial"/>
        <family val="0"/>
        <charset val="1"/>
      </rPr>
      <t xml:space="preserve">10/16(</t>
    </r>
    <r>
      <rPr>
        <sz val="11"/>
        <color rgb="FF0000FF"/>
        <rFont val="Noto Sans CJK SC"/>
        <family val="2"/>
      </rPr>
      <t xml:space="preserve">금</t>
    </r>
    <r>
      <rPr>
        <sz val="11"/>
        <color rgb="FF0000FF"/>
        <rFont val="Arial"/>
        <family val="0"/>
        <charset val="1"/>
      </rPr>
      <t xml:space="preserve">) </t>
    </r>
    <r>
      <rPr>
        <sz val="11"/>
        <color rgb="FF0000FF"/>
        <rFont val="Noto Sans CJK SC"/>
        <family val="2"/>
      </rPr>
      <t xml:space="preserve">저녁</t>
    </r>
    <r>
      <rPr>
        <sz val="11"/>
        <color rgb="FF0000FF"/>
        <rFont val="Arial"/>
        <family val="0"/>
        <charset val="1"/>
      </rPr>
      <t xml:space="preserve">, 10/23(</t>
    </r>
    <r>
      <rPr>
        <sz val="11"/>
        <color rgb="FF0000FF"/>
        <rFont val="Noto Sans CJK SC"/>
        <family val="2"/>
      </rPr>
      <t xml:space="preserve">금</t>
    </r>
    <r>
      <rPr>
        <sz val="11"/>
        <color rgb="FF0000FF"/>
        <rFont val="Arial"/>
        <family val="0"/>
        <charset val="1"/>
      </rPr>
      <t xml:space="preserve">) </t>
    </r>
    <r>
      <rPr>
        <sz val="11"/>
        <color rgb="FF0000FF"/>
        <rFont val="Noto Sans CJK SC"/>
        <family val="2"/>
      </rPr>
      <t xml:space="preserve">저녁</t>
    </r>
    <r>
      <rPr>
        <sz val="11"/>
        <color rgb="FF0000FF"/>
        <rFont val="Arial"/>
        <family val="0"/>
        <charset val="1"/>
      </rPr>
      <t xml:space="preserve">, 10/30(</t>
    </r>
    <r>
      <rPr>
        <sz val="11"/>
        <color rgb="FF0000FF"/>
        <rFont val="Noto Sans CJK SC"/>
        <family val="2"/>
      </rPr>
      <t xml:space="preserve">금</t>
    </r>
    <r>
      <rPr>
        <sz val="11"/>
        <color rgb="FF0000FF"/>
        <rFont val="Arial"/>
        <family val="0"/>
        <charset val="1"/>
      </rPr>
      <t xml:space="preserve">) </t>
    </r>
    <r>
      <rPr>
        <sz val="11"/>
        <color rgb="FF0000FF"/>
        <rFont val="Noto Sans CJK SC"/>
        <family val="2"/>
      </rPr>
      <t xml:space="preserve">점심</t>
    </r>
  </si>
  <si>
    <r>
      <rPr>
        <sz val="11"/>
        <color rgb="FF0000FF"/>
        <rFont val="Noto Sans CJK SC"/>
        <family val="2"/>
      </rPr>
      <t xml:space="preserve">강남</t>
    </r>
    <r>
      <rPr>
        <sz val="11"/>
        <color rgb="FF0000FF"/>
        <rFont val="Arial"/>
        <family val="0"/>
        <charset val="1"/>
      </rPr>
      <t xml:space="preserve">, </t>
    </r>
    <r>
      <rPr>
        <sz val="11"/>
        <color rgb="FF0000FF"/>
        <rFont val="Noto Sans CJK SC"/>
        <family val="2"/>
      </rPr>
      <t xml:space="preserve">성수</t>
    </r>
  </si>
  <si>
    <r>
      <rPr>
        <sz val="11"/>
        <color rgb="FF0000FF"/>
        <rFont val="Noto Sans CJK SC"/>
        <family val="2"/>
      </rPr>
      <t xml:space="preserve">한식</t>
    </r>
    <r>
      <rPr>
        <sz val="11"/>
        <color rgb="FF0000FF"/>
        <rFont val="Arial"/>
        <family val="0"/>
        <charset val="1"/>
      </rPr>
      <t xml:space="preserve">, </t>
    </r>
    <r>
      <rPr>
        <sz val="11"/>
        <color rgb="FF0000FF"/>
        <rFont val="Noto Sans CJK SC"/>
        <family val="2"/>
      </rPr>
      <t xml:space="preserve">일식</t>
    </r>
  </si>
  <si>
    <t xml:space="preserve">중식</t>
  </si>
  <si>
    <t xml:space="preserve">O</t>
  </si>
  <si>
    <r>
      <rPr>
        <sz val="11"/>
        <color rgb="FF0000FF"/>
        <rFont val="Noto Sans CJK SC"/>
        <family val="2"/>
      </rPr>
      <t xml:space="preserve">김민준</t>
    </r>
    <r>
      <rPr>
        <sz val="11"/>
        <color rgb="FF0000FF"/>
        <rFont val="Arial"/>
        <family val="0"/>
        <charset val="1"/>
      </rPr>
      <t xml:space="preserve">3184</t>
    </r>
  </si>
  <si>
    <t xml:space="preserve">갑각류 알레르기가 있어요</t>
  </si>
  <si>
    <r>
      <rPr>
        <sz val="11"/>
        <color rgb="FF0000FF"/>
        <rFont val="Arial"/>
        <family val="0"/>
        <charset val="1"/>
      </rPr>
      <t xml:space="preserve">10/16(</t>
    </r>
    <r>
      <rPr>
        <sz val="11"/>
        <color rgb="FF0000FF"/>
        <rFont val="Noto Sans CJK SC"/>
        <family val="2"/>
      </rPr>
      <t xml:space="preserve">금</t>
    </r>
    <r>
      <rPr>
        <sz val="11"/>
        <color rgb="FF0000FF"/>
        <rFont val="Arial"/>
        <family val="0"/>
        <charset val="1"/>
      </rPr>
      <t xml:space="preserve">) </t>
    </r>
    <r>
      <rPr>
        <sz val="11"/>
        <color rgb="FF0000FF"/>
        <rFont val="Noto Sans CJK SC"/>
        <family val="2"/>
      </rPr>
      <t xml:space="preserve">저녁</t>
    </r>
    <r>
      <rPr>
        <sz val="11"/>
        <color rgb="FF0000FF"/>
        <rFont val="Arial"/>
        <family val="0"/>
        <charset val="1"/>
      </rPr>
      <t xml:space="preserve">, 10/22(</t>
    </r>
    <r>
      <rPr>
        <sz val="11"/>
        <color rgb="FF0000FF"/>
        <rFont val="Noto Sans CJK SC"/>
        <family val="2"/>
      </rPr>
      <t xml:space="preserve">목</t>
    </r>
    <r>
      <rPr>
        <sz val="11"/>
        <color rgb="FF0000FF"/>
        <rFont val="Arial"/>
        <family val="0"/>
        <charset val="1"/>
      </rPr>
      <t xml:space="preserve">) </t>
    </r>
    <r>
      <rPr>
        <sz val="11"/>
        <color rgb="FF0000FF"/>
        <rFont val="Noto Sans CJK SC"/>
        <family val="2"/>
      </rPr>
      <t xml:space="preserve">저녁</t>
    </r>
    <r>
      <rPr>
        <sz val="11"/>
        <color rgb="FF0000FF"/>
        <rFont val="Arial"/>
        <family val="0"/>
        <charset val="1"/>
      </rPr>
      <t xml:space="preserve">, 10/23(</t>
    </r>
    <r>
      <rPr>
        <sz val="11"/>
        <color rgb="FF0000FF"/>
        <rFont val="Noto Sans CJK SC"/>
        <family val="2"/>
      </rPr>
      <t xml:space="preserve">금</t>
    </r>
    <r>
      <rPr>
        <sz val="11"/>
        <color rgb="FF0000FF"/>
        <rFont val="Arial"/>
        <family val="0"/>
        <charset val="1"/>
      </rPr>
      <t xml:space="preserve">) </t>
    </r>
    <r>
      <rPr>
        <sz val="11"/>
        <color rgb="FF0000FF"/>
        <rFont val="Noto Sans CJK SC"/>
        <family val="2"/>
      </rPr>
      <t xml:space="preserve">저녁</t>
    </r>
  </si>
  <si>
    <r>
      <rPr>
        <sz val="11"/>
        <color rgb="FF0000FF"/>
        <rFont val="Noto Sans CJK SC"/>
        <family val="2"/>
      </rPr>
      <t xml:space="preserve">강남</t>
    </r>
    <r>
      <rPr>
        <sz val="11"/>
        <color rgb="FF0000FF"/>
        <rFont val="Arial"/>
        <family val="0"/>
        <charset val="1"/>
      </rPr>
      <t xml:space="preserve">, </t>
    </r>
    <r>
      <rPr>
        <sz val="11"/>
        <color rgb="FF0000FF"/>
        <rFont val="Noto Sans CJK SC"/>
        <family val="2"/>
      </rPr>
      <t xml:space="preserve">여의도</t>
    </r>
    <r>
      <rPr>
        <sz val="11"/>
        <color rgb="FF0000FF"/>
        <rFont val="Arial"/>
        <family val="0"/>
        <charset val="1"/>
      </rPr>
      <t xml:space="preserve">, </t>
    </r>
    <r>
      <rPr>
        <sz val="11"/>
        <color rgb="FF0000FF"/>
        <rFont val="Noto Sans CJK SC"/>
        <family val="2"/>
      </rPr>
      <t xml:space="preserve">성수</t>
    </r>
  </si>
  <si>
    <r>
      <rPr>
        <sz val="11"/>
        <color rgb="FF0000FF"/>
        <rFont val="Noto Sans CJK SC"/>
        <family val="2"/>
      </rPr>
      <t xml:space="preserve">한식</t>
    </r>
    <r>
      <rPr>
        <sz val="11"/>
        <color rgb="FF0000FF"/>
        <rFont val="Arial"/>
        <family val="0"/>
        <charset val="1"/>
      </rPr>
      <t xml:space="preserve">, </t>
    </r>
    <r>
      <rPr>
        <sz val="11"/>
        <color rgb="FF0000FF"/>
        <rFont val="Noto Sans CJK SC"/>
        <family val="2"/>
      </rPr>
      <t xml:space="preserve">양식</t>
    </r>
    <r>
      <rPr>
        <sz val="11"/>
        <color rgb="FF0000FF"/>
        <rFont val="Arial"/>
        <family val="0"/>
        <charset val="1"/>
      </rPr>
      <t xml:space="preserve">, </t>
    </r>
    <r>
      <rPr>
        <sz val="11"/>
        <color rgb="FF0000FF"/>
        <rFont val="Noto Sans CJK SC"/>
        <family val="2"/>
      </rPr>
      <t xml:space="preserve">일식</t>
    </r>
  </si>
  <si>
    <t xml:space="preserve">멕시칸</t>
  </si>
  <si>
    <r>
      <rPr>
        <sz val="11"/>
        <color rgb="FF0000FF"/>
        <rFont val="Noto Sans CJK SC"/>
        <family val="2"/>
      </rPr>
      <t xml:space="preserve">이서현</t>
    </r>
    <r>
      <rPr>
        <sz val="11"/>
        <color rgb="FF0000FF"/>
        <rFont val="Arial"/>
        <family val="0"/>
        <charset val="1"/>
      </rPr>
      <t xml:space="preserve">5521</t>
    </r>
  </si>
  <si>
    <t xml:space="preserve">매운 음식은 잘 못 먹어요</t>
  </si>
  <si>
    <r>
      <rPr>
        <sz val="11"/>
        <color rgb="FF0000FF"/>
        <rFont val="Arial"/>
        <family val="0"/>
        <charset val="1"/>
      </rPr>
      <t xml:space="preserve">10/23(</t>
    </r>
    <r>
      <rPr>
        <sz val="11"/>
        <color rgb="FF0000FF"/>
        <rFont val="Noto Sans CJK SC"/>
        <family val="2"/>
      </rPr>
      <t xml:space="preserve">금</t>
    </r>
    <r>
      <rPr>
        <sz val="11"/>
        <color rgb="FF0000FF"/>
        <rFont val="Arial"/>
        <family val="0"/>
        <charset val="1"/>
      </rPr>
      <t xml:space="preserve">) </t>
    </r>
    <r>
      <rPr>
        <sz val="11"/>
        <color rgb="FF0000FF"/>
        <rFont val="Noto Sans CJK SC"/>
        <family val="2"/>
      </rPr>
      <t xml:space="preserve">저녁</t>
    </r>
    <r>
      <rPr>
        <sz val="11"/>
        <color rgb="FF0000FF"/>
        <rFont val="Arial"/>
        <family val="0"/>
        <charset val="1"/>
      </rPr>
      <t xml:space="preserve">, 10/30(</t>
    </r>
    <r>
      <rPr>
        <sz val="11"/>
        <color rgb="FF0000FF"/>
        <rFont val="Noto Sans CJK SC"/>
        <family val="2"/>
      </rPr>
      <t xml:space="preserve">금</t>
    </r>
    <r>
      <rPr>
        <sz val="11"/>
        <color rgb="FF0000FF"/>
        <rFont val="Arial"/>
        <family val="0"/>
        <charset val="1"/>
      </rPr>
      <t xml:space="preserve">) </t>
    </r>
    <r>
      <rPr>
        <sz val="11"/>
        <color rgb="FF0000FF"/>
        <rFont val="Noto Sans CJK SC"/>
        <family val="2"/>
      </rPr>
      <t xml:space="preserve">점심</t>
    </r>
  </si>
  <si>
    <r>
      <rPr>
        <sz val="11"/>
        <color rgb="FF0000FF"/>
        <rFont val="Noto Sans CJK SC"/>
        <family val="2"/>
      </rPr>
      <t xml:space="preserve">성수</t>
    </r>
    <r>
      <rPr>
        <sz val="11"/>
        <color rgb="FF0000FF"/>
        <rFont val="Arial"/>
        <family val="0"/>
        <charset val="1"/>
      </rPr>
      <t xml:space="preserve">, </t>
    </r>
    <r>
      <rPr>
        <sz val="11"/>
        <color rgb="FF0000FF"/>
        <rFont val="Noto Sans CJK SC"/>
        <family val="2"/>
      </rPr>
      <t xml:space="preserve">종로</t>
    </r>
  </si>
  <si>
    <r>
      <rPr>
        <sz val="11"/>
        <color rgb="FF0000FF"/>
        <rFont val="Noto Sans CJK SC"/>
        <family val="2"/>
      </rPr>
      <t xml:space="preserve">일식</t>
    </r>
    <r>
      <rPr>
        <sz val="11"/>
        <color rgb="FF0000FF"/>
        <rFont val="Arial"/>
        <family val="0"/>
        <charset val="1"/>
      </rPr>
      <t xml:space="preserve">, </t>
    </r>
    <r>
      <rPr>
        <sz val="11"/>
        <color rgb="FF0000FF"/>
        <rFont val="Noto Sans CJK SC"/>
        <family val="2"/>
      </rPr>
      <t xml:space="preserve">아시안</t>
    </r>
  </si>
  <si>
    <r>
      <rPr>
        <sz val="11"/>
        <color rgb="FF0000FF"/>
        <rFont val="Noto Sans CJK SC"/>
        <family val="2"/>
      </rPr>
      <t xml:space="preserve">중식</t>
    </r>
    <r>
      <rPr>
        <sz val="11"/>
        <color rgb="FF0000FF"/>
        <rFont val="Arial"/>
        <family val="0"/>
        <charset val="1"/>
      </rPr>
      <t xml:space="preserve">, </t>
    </r>
    <r>
      <rPr>
        <sz val="11"/>
        <color rgb="FF0000FF"/>
        <rFont val="Noto Sans CJK SC"/>
        <family val="2"/>
      </rPr>
      <t xml:space="preserve">멕시칸</t>
    </r>
  </si>
  <si>
    <t xml:space="preserve">△</t>
  </si>
  <si>
    <r>
      <rPr>
        <sz val="11"/>
        <color rgb="FF0000FF"/>
        <rFont val="Noto Sans CJK SC"/>
        <family val="2"/>
      </rPr>
      <t xml:space="preserve">박도윤</t>
    </r>
    <r>
      <rPr>
        <sz val="11"/>
        <color rgb="FF0000FF"/>
        <rFont val="Arial"/>
        <family val="0"/>
        <charset val="1"/>
      </rPr>
      <t xml:space="preserve">7709</t>
    </r>
  </si>
  <si>
    <r>
      <rPr>
        <sz val="11"/>
        <color rgb="FF0000FF"/>
        <rFont val="Noto Sans CJK SC"/>
        <family val="2"/>
      </rPr>
      <t xml:space="preserve">강남</t>
    </r>
    <r>
      <rPr>
        <sz val="11"/>
        <color rgb="FF0000FF"/>
        <rFont val="Arial"/>
        <family val="0"/>
        <charset val="1"/>
      </rPr>
      <t xml:space="preserve">, </t>
    </r>
    <r>
      <rPr>
        <sz val="11"/>
        <color rgb="FF0000FF"/>
        <rFont val="Noto Sans CJK SC"/>
        <family val="2"/>
      </rPr>
      <t xml:space="preserve">홍대</t>
    </r>
  </si>
  <si>
    <r>
      <rPr>
        <sz val="11"/>
        <color rgb="FF0000FF"/>
        <rFont val="Noto Sans CJK SC"/>
        <family val="2"/>
      </rPr>
      <t xml:space="preserve">한식</t>
    </r>
    <r>
      <rPr>
        <sz val="11"/>
        <color rgb="FF0000FF"/>
        <rFont val="Arial"/>
        <family val="0"/>
        <charset val="1"/>
      </rPr>
      <t xml:space="preserve">, </t>
    </r>
    <r>
      <rPr>
        <sz val="11"/>
        <color rgb="FF0000FF"/>
        <rFont val="Noto Sans CJK SC"/>
        <family val="2"/>
      </rPr>
      <t xml:space="preserve">중식</t>
    </r>
    <r>
      <rPr>
        <sz val="11"/>
        <color rgb="FF0000FF"/>
        <rFont val="Arial"/>
        <family val="0"/>
        <charset val="1"/>
      </rPr>
      <t xml:space="preserve">, </t>
    </r>
    <r>
      <rPr>
        <sz val="11"/>
        <color rgb="FF0000FF"/>
        <rFont val="Noto Sans CJK SC"/>
        <family val="2"/>
      </rPr>
      <t xml:space="preserve">멕시칸</t>
    </r>
  </si>
  <si>
    <t xml:space="preserve">샐러드</t>
  </si>
  <si>
    <r>
      <rPr>
        <sz val="11"/>
        <color rgb="FF0000FF"/>
        <rFont val="Noto Sans CJK SC"/>
        <family val="2"/>
      </rPr>
      <t xml:space="preserve">최하린</t>
    </r>
    <r>
      <rPr>
        <sz val="11"/>
        <color rgb="FF0000FF"/>
        <rFont val="Arial"/>
        <family val="0"/>
        <charset val="1"/>
      </rPr>
      <t xml:space="preserve">2046</t>
    </r>
  </si>
  <si>
    <t xml:space="preserve">땅콩 알레르기가 있어요</t>
  </si>
  <si>
    <r>
      <rPr>
        <sz val="11"/>
        <color rgb="FF0000FF"/>
        <rFont val="Noto Sans CJK SC"/>
        <family val="2"/>
      </rPr>
      <t xml:space="preserve">여의도</t>
    </r>
    <r>
      <rPr>
        <sz val="11"/>
        <color rgb="FF0000FF"/>
        <rFont val="Arial"/>
        <family val="0"/>
        <charset val="1"/>
      </rPr>
      <t xml:space="preserve">, </t>
    </r>
    <r>
      <rPr>
        <sz val="11"/>
        <color rgb="FF0000FF"/>
        <rFont val="Noto Sans CJK SC"/>
        <family val="2"/>
      </rPr>
      <t xml:space="preserve">강남</t>
    </r>
  </si>
  <si>
    <r>
      <rPr>
        <sz val="11"/>
        <color rgb="FF0000FF"/>
        <rFont val="Noto Sans CJK SC"/>
        <family val="2"/>
      </rPr>
      <t xml:space="preserve">한식</t>
    </r>
    <r>
      <rPr>
        <sz val="11"/>
        <color rgb="FF0000FF"/>
        <rFont val="Arial"/>
        <family val="0"/>
        <charset val="1"/>
      </rPr>
      <t xml:space="preserve">, </t>
    </r>
    <r>
      <rPr>
        <sz val="11"/>
        <color rgb="FF0000FF"/>
        <rFont val="Noto Sans CJK SC"/>
        <family val="2"/>
      </rPr>
      <t xml:space="preserve">샐러드</t>
    </r>
    <r>
      <rPr>
        <sz val="11"/>
        <color rgb="FF0000FF"/>
        <rFont val="Arial"/>
        <family val="0"/>
        <charset val="1"/>
      </rPr>
      <t xml:space="preserve">, </t>
    </r>
    <r>
      <rPr>
        <sz val="11"/>
        <color rgb="FF0000FF"/>
        <rFont val="Noto Sans CJK SC"/>
        <family val="2"/>
      </rPr>
      <t xml:space="preserve">일식</t>
    </r>
  </si>
  <si>
    <t xml:space="preserve">X</t>
  </si>
  <si>
    <r>
      <rPr>
        <sz val="11"/>
        <color rgb="FF0000FF"/>
        <rFont val="Noto Sans CJK SC"/>
        <family val="2"/>
      </rPr>
      <t xml:space="preserve">정우진</t>
    </r>
    <r>
      <rPr>
        <sz val="11"/>
        <color rgb="FF0000FF"/>
        <rFont val="Arial"/>
        <family val="0"/>
        <charset val="1"/>
      </rPr>
      <t xml:space="preserve">8832</t>
    </r>
  </si>
  <si>
    <r>
      <rPr>
        <sz val="11"/>
        <color rgb="FF0000FF"/>
        <rFont val="Arial"/>
        <family val="0"/>
        <charset val="1"/>
      </rPr>
      <t xml:space="preserve">10/16(</t>
    </r>
    <r>
      <rPr>
        <sz val="11"/>
        <color rgb="FF0000FF"/>
        <rFont val="Noto Sans CJK SC"/>
        <family val="2"/>
      </rPr>
      <t xml:space="preserve">금</t>
    </r>
    <r>
      <rPr>
        <sz val="11"/>
        <color rgb="FF0000FF"/>
        <rFont val="Arial"/>
        <family val="0"/>
        <charset val="1"/>
      </rPr>
      <t xml:space="preserve">) </t>
    </r>
    <r>
      <rPr>
        <sz val="11"/>
        <color rgb="FF0000FF"/>
        <rFont val="Noto Sans CJK SC"/>
        <family val="2"/>
      </rPr>
      <t xml:space="preserve">저녁</t>
    </r>
    <r>
      <rPr>
        <sz val="11"/>
        <color rgb="FF0000FF"/>
        <rFont val="Arial"/>
        <family val="0"/>
        <charset val="1"/>
      </rPr>
      <t xml:space="preserve">, 10/22(</t>
    </r>
    <r>
      <rPr>
        <sz val="11"/>
        <color rgb="FF0000FF"/>
        <rFont val="Noto Sans CJK SC"/>
        <family val="2"/>
      </rPr>
      <t xml:space="preserve">목</t>
    </r>
    <r>
      <rPr>
        <sz val="11"/>
        <color rgb="FF0000FF"/>
        <rFont val="Arial"/>
        <family val="0"/>
        <charset val="1"/>
      </rPr>
      <t xml:space="preserve">) </t>
    </r>
    <r>
      <rPr>
        <sz val="11"/>
        <color rgb="FF0000FF"/>
        <rFont val="Noto Sans CJK SC"/>
        <family val="2"/>
      </rPr>
      <t xml:space="preserve">저녁</t>
    </r>
    <r>
      <rPr>
        <sz val="11"/>
        <color rgb="FF0000FF"/>
        <rFont val="Arial"/>
        <family val="0"/>
        <charset val="1"/>
      </rPr>
      <t xml:space="preserve">, 10/23(</t>
    </r>
    <r>
      <rPr>
        <sz val="11"/>
        <color rgb="FF0000FF"/>
        <rFont val="Noto Sans CJK SC"/>
        <family val="2"/>
      </rPr>
      <t xml:space="preserve">금</t>
    </r>
    <r>
      <rPr>
        <sz val="11"/>
        <color rgb="FF0000FF"/>
        <rFont val="Arial"/>
        <family val="0"/>
        <charset val="1"/>
      </rPr>
      <t xml:space="preserve">) </t>
    </r>
    <r>
      <rPr>
        <sz val="11"/>
        <color rgb="FF0000FF"/>
        <rFont val="Noto Sans CJK SC"/>
        <family val="2"/>
      </rPr>
      <t xml:space="preserve">저녁</t>
    </r>
    <r>
      <rPr>
        <sz val="11"/>
        <color rgb="FF0000FF"/>
        <rFont val="Arial"/>
        <family val="0"/>
        <charset val="1"/>
      </rPr>
      <t xml:space="preserve">, 10/24(</t>
    </r>
    <r>
      <rPr>
        <sz val="11"/>
        <color rgb="FF0000FF"/>
        <rFont val="Noto Sans CJK SC"/>
        <family val="2"/>
      </rPr>
      <t xml:space="preserve">토</t>
    </r>
    <r>
      <rPr>
        <sz val="11"/>
        <color rgb="FF0000FF"/>
        <rFont val="Arial"/>
        <family val="0"/>
        <charset val="1"/>
      </rPr>
      <t xml:space="preserve">) </t>
    </r>
    <r>
      <rPr>
        <sz val="11"/>
        <color rgb="FF0000FF"/>
        <rFont val="Noto Sans CJK SC"/>
        <family val="2"/>
      </rPr>
      <t xml:space="preserve">저녁</t>
    </r>
  </si>
  <si>
    <r>
      <rPr>
        <sz val="11"/>
        <color rgb="FF0000FF"/>
        <rFont val="Noto Sans CJK SC"/>
        <family val="2"/>
      </rPr>
      <t xml:space="preserve">강남</t>
    </r>
    <r>
      <rPr>
        <sz val="11"/>
        <color rgb="FF0000FF"/>
        <rFont val="Arial"/>
        <family val="0"/>
        <charset val="1"/>
      </rPr>
      <t xml:space="preserve">, </t>
    </r>
    <r>
      <rPr>
        <sz val="11"/>
        <color rgb="FF0000FF"/>
        <rFont val="Noto Sans CJK SC"/>
        <family val="2"/>
      </rPr>
      <t xml:space="preserve">성수</t>
    </r>
    <r>
      <rPr>
        <sz val="11"/>
        <color rgb="FF0000FF"/>
        <rFont val="Arial"/>
        <family val="0"/>
        <charset val="1"/>
      </rPr>
      <t xml:space="preserve">, </t>
    </r>
    <r>
      <rPr>
        <sz val="11"/>
        <color rgb="FF0000FF"/>
        <rFont val="Noto Sans CJK SC"/>
        <family val="2"/>
      </rPr>
      <t xml:space="preserve">이태원</t>
    </r>
  </si>
  <si>
    <r>
      <rPr>
        <sz val="11"/>
        <color rgb="FF0000FF"/>
        <rFont val="Noto Sans CJK SC"/>
        <family val="2"/>
      </rPr>
      <t xml:space="preserve">한식</t>
    </r>
    <r>
      <rPr>
        <sz val="11"/>
        <color rgb="FF0000FF"/>
        <rFont val="Arial"/>
        <family val="0"/>
        <charset val="1"/>
      </rPr>
      <t xml:space="preserve">, </t>
    </r>
    <r>
      <rPr>
        <sz val="11"/>
        <color rgb="FF0000FF"/>
        <rFont val="Noto Sans CJK SC"/>
        <family val="2"/>
      </rPr>
      <t xml:space="preserve">양식</t>
    </r>
  </si>
  <si>
    <t xml:space="preserve">아시안</t>
  </si>
  <si>
    <r>
      <rPr>
        <sz val="11"/>
        <color rgb="FF0000FF"/>
        <rFont val="Noto Sans CJK SC"/>
        <family val="2"/>
      </rPr>
      <t xml:space="preserve">강지아</t>
    </r>
    <r>
      <rPr>
        <sz val="11"/>
        <color rgb="FF0000FF"/>
        <rFont val="Arial"/>
        <family val="0"/>
        <charset val="1"/>
      </rPr>
      <t xml:space="preserve">4415</t>
    </r>
  </si>
  <si>
    <t xml:space="preserve">우유가 들어간 음식은 피하고 있어요</t>
  </si>
  <si>
    <r>
      <rPr>
        <sz val="11"/>
        <color rgb="FF0000FF"/>
        <rFont val="Arial"/>
        <family val="0"/>
        <charset val="1"/>
      </rPr>
      <t xml:space="preserve">10/16(</t>
    </r>
    <r>
      <rPr>
        <sz val="11"/>
        <color rgb="FF0000FF"/>
        <rFont val="Noto Sans CJK SC"/>
        <family val="2"/>
      </rPr>
      <t xml:space="preserve">금</t>
    </r>
    <r>
      <rPr>
        <sz val="11"/>
        <color rgb="FF0000FF"/>
        <rFont val="Arial"/>
        <family val="0"/>
        <charset val="1"/>
      </rPr>
      <t xml:space="preserve">) </t>
    </r>
    <r>
      <rPr>
        <sz val="11"/>
        <color rgb="FF0000FF"/>
        <rFont val="Noto Sans CJK SC"/>
        <family val="2"/>
      </rPr>
      <t xml:space="preserve">저녁</t>
    </r>
    <r>
      <rPr>
        <sz val="11"/>
        <color rgb="FF0000FF"/>
        <rFont val="Arial"/>
        <family val="0"/>
        <charset val="1"/>
      </rPr>
      <t xml:space="preserve">, 10/23(</t>
    </r>
    <r>
      <rPr>
        <sz val="11"/>
        <color rgb="FF0000FF"/>
        <rFont val="Noto Sans CJK SC"/>
        <family val="2"/>
      </rPr>
      <t xml:space="preserve">금</t>
    </r>
    <r>
      <rPr>
        <sz val="11"/>
        <color rgb="FF0000FF"/>
        <rFont val="Arial"/>
        <family val="0"/>
        <charset val="1"/>
      </rPr>
      <t xml:space="preserve">) </t>
    </r>
    <r>
      <rPr>
        <sz val="11"/>
        <color rgb="FF0000FF"/>
        <rFont val="Noto Sans CJK SC"/>
        <family val="2"/>
      </rPr>
      <t xml:space="preserve">저녁</t>
    </r>
  </si>
  <si>
    <r>
      <rPr>
        <sz val="11"/>
        <color rgb="FF0000FF"/>
        <rFont val="Noto Sans CJK SC"/>
        <family val="2"/>
      </rPr>
      <t xml:space="preserve">아시안</t>
    </r>
    <r>
      <rPr>
        <sz val="11"/>
        <color rgb="FF0000FF"/>
        <rFont val="Arial"/>
        <family val="0"/>
        <charset val="1"/>
      </rPr>
      <t xml:space="preserve">, </t>
    </r>
    <r>
      <rPr>
        <sz val="11"/>
        <color rgb="FF0000FF"/>
        <rFont val="Noto Sans CJK SC"/>
        <family val="2"/>
      </rPr>
      <t xml:space="preserve">일식</t>
    </r>
  </si>
  <si>
    <r>
      <rPr>
        <sz val="11"/>
        <color rgb="FF0000FF"/>
        <rFont val="Noto Sans CJK SC"/>
        <family val="2"/>
      </rPr>
      <t xml:space="preserve">양식</t>
    </r>
    <r>
      <rPr>
        <sz val="11"/>
        <color rgb="FF0000FF"/>
        <rFont val="Arial"/>
        <family val="0"/>
        <charset val="1"/>
      </rPr>
      <t xml:space="preserve">, </t>
    </r>
    <r>
      <rPr>
        <sz val="11"/>
        <color rgb="FF0000FF"/>
        <rFont val="Noto Sans CJK SC"/>
        <family val="2"/>
      </rPr>
      <t xml:space="preserve">중식</t>
    </r>
  </si>
  <si>
    <r>
      <rPr>
        <sz val="11"/>
        <color rgb="FF0000FF"/>
        <rFont val="Noto Sans CJK SC"/>
        <family val="2"/>
      </rPr>
      <t xml:space="preserve">윤시우</t>
    </r>
    <r>
      <rPr>
        <sz val="11"/>
        <color rgb="FF0000FF"/>
        <rFont val="Arial"/>
        <family val="0"/>
        <charset val="1"/>
      </rPr>
      <t xml:space="preserve">6290</t>
    </r>
  </si>
  <si>
    <r>
      <rPr>
        <sz val="11"/>
        <color rgb="FF0000FF"/>
        <rFont val="Arial"/>
        <family val="0"/>
        <charset val="1"/>
      </rPr>
      <t xml:space="preserve">10/22(</t>
    </r>
    <r>
      <rPr>
        <sz val="11"/>
        <color rgb="FF0000FF"/>
        <rFont val="Noto Sans CJK SC"/>
        <family val="2"/>
      </rPr>
      <t xml:space="preserve">목</t>
    </r>
    <r>
      <rPr>
        <sz val="11"/>
        <color rgb="FF0000FF"/>
        <rFont val="Arial"/>
        <family val="0"/>
        <charset val="1"/>
      </rPr>
      <t xml:space="preserve">) </t>
    </r>
    <r>
      <rPr>
        <sz val="11"/>
        <color rgb="FF0000FF"/>
        <rFont val="Noto Sans CJK SC"/>
        <family val="2"/>
      </rPr>
      <t xml:space="preserve">저녁</t>
    </r>
    <r>
      <rPr>
        <sz val="11"/>
        <color rgb="FF0000FF"/>
        <rFont val="Arial"/>
        <family val="0"/>
        <charset val="1"/>
      </rPr>
      <t xml:space="preserve">, 10/23(</t>
    </r>
    <r>
      <rPr>
        <sz val="11"/>
        <color rgb="FF0000FF"/>
        <rFont val="Noto Sans CJK SC"/>
        <family val="2"/>
      </rPr>
      <t xml:space="preserve">금</t>
    </r>
    <r>
      <rPr>
        <sz val="11"/>
        <color rgb="FF0000FF"/>
        <rFont val="Arial"/>
        <family val="0"/>
        <charset val="1"/>
      </rPr>
      <t xml:space="preserve">) </t>
    </r>
    <r>
      <rPr>
        <sz val="11"/>
        <color rgb="FF0000FF"/>
        <rFont val="Noto Sans CJK SC"/>
        <family val="2"/>
      </rPr>
      <t xml:space="preserve">저녁</t>
    </r>
    <r>
      <rPr>
        <sz val="11"/>
        <color rgb="FF0000FF"/>
        <rFont val="Arial"/>
        <family val="0"/>
        <charset val="1"/>
      </rPr>
      <t xml:space="preserve">, 10/30(</t>
    </r>
    <r>
      <rPr>
        <sz val="11"/>
        <color rgb="FF0000FF"/>
        <rFont val="Noto Sans CJK SC"/>
        <family val="2"/>
      </rPr>
      <t xml:space="preserve">금</t>
    </r>
    <r>
      <rPr>
        <sz val="11"/>
        <color rgb="FF0000FF"/>
        <rFont val="Arial"/>
        <family val="0"/>
        <charset val="1"/>
      </rPr>
      <t xml:space="preserve">) </t>
    </r>
    <r>
      <rPr>
        <sz val="11"/>
        <color rgb="FF0000FF"/>
        <rFont val="Noto Sans CJK SC"/>
        <family val="2"/>
      </rPr>
      <t xml:space="preserve">점심</t>
    </r>
  </si>
  <si>
    <r>
      <rPr>
        <sz val="11"/>
        <color rgb="FF0000FF"/>
        <rFont val="Noto Sans CJK SC"/>
        <family val="2"/>
      </rPr>
      <t xml:space="preserve">종로</t>
    </r>
    <r>
      <rPr>
        <sz val="11"/>
        <color rgb="FF0000FF"/>
        <rFont val="Arial"/>
        <family val="0"/>
        <charset val="1"/>
      </rPr>
      <t xml:space="preserve">, </t>
    </r>
    <r>
      <rPr>
        <sz val="11"/>
        <color rgb="FF0000FF"/>
        <rFont val="Noto Sans CJK SC"/>
        <family val="2"/>
      </rPr>
      <t xml:space="preserve">강남</t>
    </r>
  </si>
  <si>
    <r>
      <rPr>
        <sz val="11"/>
        <color rgb="FF0000FF"/>
        <rFont val="Noto Sans CJK SC"/>
        <family val="2"/>
      </rPr>
      <t xml:space="preserve">한식</t>
    </r>
    <r>
      <rPr>
        <sz val="11"/>
        <color rgb="FF0000FF"/>
        <rFont val="Arial"/>
        <family val="0"/>
        <charset val="1"/>
      </rPr>
      <t xml:space="preserve">, </t>
    </r>
    <r>
      <rPr>
        <sz val="11"/>
        <color rgb="FF0000FF"/>
        <rFont val="Noto Sans CJK SC"/>
        <family val="2"/>
      </rPr>
      <t xml:space="preserve">아시안</t>
    </r>
    <r>
      <rPr>
        <sz val="11"/>
        <color rgb="FF0000FF"/>
        <rFont val="Arial"/>
        <family val="0"/>
        <charset val="1"/>
      </rPr>
      <t xml:space="preserve">, </t>
    </r>
    <r>
      <rPr>
        <sz val="11"/>
        <color rgb="FF0000FF"/>
        <rFont val="Noto Sans CJK SC"/>
        <family val="2"/>
      </rPr>
      <t xml:space="preserve">멕시칸</t>
    </r>
  </si>
  <si>
    <r>
      <rPr>
        <sz val="11"/>
        <color rgb="FF0000FF"/>
        <rFont val="Noto Sans CJK SC"/>
        <family val="2"/>
      </rPr>
      <t xml:space="preserve">한예린</t>
    </r>
    <r>
      <rPr>
        <sz val="11"/>
        <color rgb="FF0000FF"/>
        <rFont val="Arial"/>
        <family val="0"/>
        <charset val="1"/>
      </rPr>
      <t xml:space="preserve">1357</t>
    </r>
  </si>
  <si>
    <t xml:space="preserve">마라탕은 못 먹어요</t>
  </si>
  <si>
    <r>
      <rPr>
        <sz val="11"/>
        <color rgb="FF0000FF"/>
        <rFont val="Noto Sans CJK SC"/>
        <family val="2"/>
      </rPr>
      <t xml:space="preserve">성수</t>
    </r>
    <r>
      <rPr>
        <sz val="11"/>
        <color rgb="FF0000FF"/>
        <rFont val="Arial"/>
        <family val="0"/>
        <charset val="1"/>
      </rPr>
      <t xml:space="preserve">, </t>
    </r>
    <r>
      <rPr>
        <sz val="11"/>
        <color rgb="FF0000FF"/>
        <rFont val="Noto Sans CJK SC"/>
        <family val="2"/>
      </rPr>
      <t xml:space="preserve">여의도</t>
    </r>
    <r>
      <rPr>
        <sz val="11"/>
        <color rgb="FF0000FF"/>
        <rFont val="Arial"/>
        <family val="0"/>
        <charset val="1"/>
      </rPr>
      <t xml:space="preserve">, </t>
    </r>
    <r>
      <rPr>
        <sz val="11"/>
        <color rgb="FF0000FF"/>
        <rFont val="Noto Sans CJK SC"/>
        <family val="2"/>
      </rPr>
      <t xml:space="preserve">문래</t>
    </r>
  </si>
  <si>
    <r>
      <rPr>
        <sz val="11"/>
        <color rgb="FF0000FF"/>
        <rFont val="Noto Sans CJK SC"/>
        <family val="2"/>
      </rPr>
      <t xml:space="preserve">한식</t>
    </r>
    <r>
      <rPr>
        <sz val="11"/>
        <color rgb="FF0000FF"/>
        <rFont val="Arial"/>
        <family val="0"/>
        <charset val="1"/>
      </rPr>
      <t xml:space="preserve">, </t>
    </r>
    <r>
      <rPr>
        <sz val="11"/>
        <color rgb="FF0000FF"/>
        <rFont val="Noto Sans CJK SC"/>
        <family val="2"/>
      </rPr>
      <t xml:space="preserve">일식</t>
    </r>
    <r>
      <rPr>
        <sz val="11"/>
        <color rgb="FF0000FF"/>
        <rFont val="Arial"/>
        <family val="0"/>
        <charset val="1"/>
      </rPr>
      <t xml:space="preserve">, </t>
    </r>
    <r>
      <rPr>
        <sz val="11"/>
        <color rgb="FF0000FF"/>
        <rFont val="Noto Sans CJK SC"/>
        <family val="2"/>
      </rPr>
      <t xml:space="preserve">양식</t>
    </r>
  </si>
  <si>
    <r>
      <rPr>
        <sz val="11"/>
        <color rgb="FF0000FF"/>
        <rFont val="Noto Sans CJK SC"/>
        <family val="2"/>
      </rPr>
      <t xml:space="preserve">오지훈</t>
    </r>
    <r>
      <rPr>
        <sz val="11"/>
        <color rgb="FF0000FF"/>
        <rFont val="Arial"/>
        <family val="0"/>
        <charset val="1"/>
      </rPr>
      <t xml:space="preserve">9064</t>
    </r>
  </si>
  <si>
    <t xml:space="preserve">조개류 알레르기가 있어요</t>
  </si>
  <si>
    <r>
      <rPr>
        <sz val="11"/>
        <color rgb="FF0000FF"/>
        <rFont val="Arial"/>
        <family val="0"/>
        <charset val="1"/>
      </rPr>
      <t xml:space="preserve">10/16(</t>
    </r>
    <r>
      <rPr>
        <sz val="11"/>
        <color rgb="FF0000FF"/>
        <rFont val="Noto Sans CJK SC"/>
        <family val="2"/>
      </rPr>
      <t xml:space="preserve">금</t>
    </r>
    <r>
      <rPr>
        <sz val="11"/>
        <color rgb="FF0000FF"/>
        <rFont val="Arial"/>
        <family val="0"/>
        <charset val="1"/>
      </rPr>
      <t xml:space="preserve">) </t>
    </r>
    <r>
      <rPr>
        <sz val="11"/>
        <color rgb="FF0000FF"/>
        <rFont val="Noto Sans CJK SC"/>
        <family val="2"/>
      </rPr>
      <t xml:space="preserve">저녁</t>
    </r>
    <r>
      <rPr>
        <sz val="11"/>
        <color rgb="FF0000FF"/>
        <rFont val="Arial"/>
        <family val="0"/>
        <charset val="1"/>
      </rPr>
      <t xml:space="preserve">, 10/23(</t>
    </r>
    <r>
      <rPr>
        <sz val="11"/>
        <color rgb="FF0000FF"/>
        <rFont val="Noto Sans CJK SC"/>
        <family val="2"/>
      </rPr>
      <t xml:space="preserve">금</t>
    </r>
    <r>
      <rPr>
        <sz val="11"/>
        <color rgb="FF0000FF"/>
        <rFont val="Arial"/>
        <family val="0"/>
        <charset val="1"/>
      </rPr>
      <t xml:space="preserve">) </t>
    </r>
    <r>
      <rPr>
        <sz val="11"/>
        <color rgb="FF0000FF"/>
        <rFont val="Noto Sans CJK SC"/>
        <family val="2"/>
      </rPr>
      <t xml:space="preserve">저녁</t>
    </r>
    <r>
      <rPr>
        <sz val="11"/>
        <color rgb="FF0000FF"/>
        <rFont val="Arial"/>
        <family val="0"/>
        <charset val="1"/>
      </rPr>
      <t xml:space="preserve">, 10/31(</t>
    </r>
    <r>
      <rPr>
        <sz val="11"/>
        <color rgb="FF0000FF"/>
        <rFont val="Noto Sans CJK SC"/>
        <family val="2"/>
      </rPr>
      <t xml:space="preserve">토</t>
    </r>
    <r>
      <rPr>
        <sz val="11"/>
        <color rgb="FF0000FF"/>
        <rFont val="Arial"/>
        <family val="0"/>
        <charset val="1"/>
      </rPr>
      <t xml:space="preserve">) </t>
    </r>
    <r>
      <rPr>
        <sz val="11"/>
        <color rgb="FF0000FF"/>
        <rFont val="Noto Sans CJK SC"/>
        <family val="2"/>
      </rPr>
      <t xml:space="preserve">점심</t>
    </r>
  </si>
  <si>
    <r>
      <rPr>
        <sz val="11"/>
        <color rgb="FF0000FF"/>
        <rFont val="Noto Sans CJK SC"/>
        <family val="2"/>
      </rPr>
      <t xml:space="preserve">강남</t>
    </r>
    <r>
      <rPr>
        <sz val="11"/>
        <color rgb="FF0000FF"/>
        <rFont val="Arial"/>
        <family val="0"/>
        <charset val="1"/>
      </rPr>
      <t xml:space="preserve">, </t>
    </r>
    <r>
      <rPr>
        <sz val="11"/>
        <color rgb="FF0000FF"/>
        <rFont val="Noto Sans CJK SC"/>
        <family val="2"/>
      </rPr>
      <t xml:space="preserve">용산</t>
    </r>
  </si>
  <si>
    <r>
      <rPr>
        <sz val="11"/>
        <color rgb="FF0000FF"/>
        <rFont val="Noto Sans CJK SC"/>
        <family val="2"/>
      </rPr>
      <t xml:space="preserve">한식</t>
    </r>
    <r>
      <rPr>
        <sz val="11"/>
        <color rgb="FF0000FF"/>
        <rFont val="Arial"/>
        <family val="0"/>
        <charset val="1"/>
      </rPr>
      <t xml:space="preserve">, </t>
    </r>
    <r>
      <rPr>
        <sz val="11"/>
        <color rgb="FF0000FF"/>
        <rFont val="Noto Sans CJK SC"/>
        <family val="2"/>
      </rPr>
      <t xml:space="preserve">중식</t>
    </r>
  </si>
  <si>
    <r>
      <rPr>
        <sz val="9"/>
        <color rgb="FF7A6A5F"/>
        <rFont val="Noto Sans CJK SC"/>
        <family val="2"/>
      </rPr>
      <t xml:space="preserve">※ 모든 데이터는 테스트용 가상 데이터입니다</t>
    </r>
    <r>
      <rPr>
        <sz val="9"/>
        <color rgb="FF7A6A5F"/>
        <rFont val="Arial"/>
        <family val="0"/>
        <charset val="1"/>
      </rPr>
      <t xml:space="preserve">. (</t>
    </r>
    <r>
      <rPr>
        <sz val="9"/>
        <color rgb="FF7A6A5F"/>
        <rFont val="Noto Sans CJK SC"/>
        <family val="2"/>
      </rPr>
      <t xml:space="preserve">이름</t>
    </r>
    <r>
      <rPr>
        <sz val="9"/>
        <color rgb="FF7A6A5F"/>
        <rFont val="Arial"/>
        <family val="0"/>
        <charset val="1"/>
      </rPr>
      <t xml:space="preserve">·</t>
    </r>
    <r>
      <rPr>
        <sz val="9"/>
        <color rgb="FF7A6A5F"/>
        <rFont val="Noto Sans CJK SC"/>
        <family val="2"/>
      </rPr>
      <t xml:space="preserve">숫자</t>
    </r>
    <r>
      <rPr>
        <sz val="9"/>
        <color rgb="FF7A6A5F"/>
        <rFont val="Arial"/>
        <family val="0"/>
        <charset val="1"/>
      </rPr>
      <t xml:space="preserve">·</t>
    </r>
    <r>
      <rPr>
        <sz val="9"/>
        <color rgb="FF7A6A5F"/>
        <rFont val="Noto Sans CJK SC"/>
        <family val="2"/>
      </rPr>
      <t xml:space="preserve">알레르기 정보는 실제 인물과 무관</t>
    </r>
    <r>
      <rPr>
        <sz val="9"/>
        <color rgb="FF7A6A5F"/>
        <rFont val="Arial"/>
        <family val="0"/>
        <charset val="1"/>
      </rPr>
      <t xml:space="preserve">)</t>
    </r>
  </si>
  <si>
    <r>
      <rPr>
        <sz val="9"/>
        <color rgb="FF7A6A5F"/>
        <rFont val="Noto Sans CJK SC"/>
        <family val="2"/>
      </rPr>
      <t xml:space="preserve">※ 파란 글자 칸이 입력값입니다</t>
    </r>
    <r>
      <rPr>
        <sz val="9"/>
        <color rgb="FF7A6A5F"/>
        <rFont val="Arial"/>
        <family val="0"/>
        <charset val="1"/>
      </rPr>
      <t xml:space="preserve">. </t>
    </r>
    <r>
      <rPr>
        <sz val="9"/>
        <color rgb="FF7A6A5F"/>
        <rFont val="Noto Sans CJK SC"/>
        <family val="2"/>
      </rPr>
      <t xml:space="preserve">값을 바꾸면 </t>
    </r>
    <r>
      <rPr>
        <sz val="9"/>
        <color rgb="FF7A6A5F"/>
        <rFont val="Arial"/>
        <family val="0"/>
        <charset val="1"/>
      </rPr>
      <t xml:space="preserve">'</t>
    </r>
    <r>
      <rPr>
        <sz val="9"/>
        <color rgb="FF7A6A5F"/>
        <rFont val="Noto Sans CJK SC"/>
        <family val="2"/>
      </rPr>
      <t xml:space="preserve">집계</t>
    </r>
    <r>
      <rPr>
        <sz val="9"/>
        <color rgb="FF7A6A5F"/>
        <rFont val="Arial"/>
        <family val="0"/>
        <charset val="1"/>
      </rPr>
      <t xml:space="preserve">(</t>
    </r>
    <r>
      <rPr>
        <sz val="9"/>
        <color rgb="FF7A6A5F"/>
        <rFont val="Noto Sans CJK SC"/>
        <family val="2"/>
      </rPr>
      <t xml:space="preserve">검증용</t>
    </r>
    <r>
      <rPr>
        <sz val="9"/>
        <color rgb="FF7A6A5F"/>
        <rFont val="Arial"/>
        <family val="0"/>
        <charset val="1"/>
      </rPr>
      <t xml:space="preserve">)' </t>
    </r>
    <r>
      <rPr>
        <sz val="9"/>
        <color rgb="FF7A6A5F"/>
        <rFont val="Noto Sans CJK SC"/>
        <family val="2"/>
      </rPr>
      <t xml:space="preserve">시트가 자동으로 다시 계산됩니다</t>
    </r>
    <r>
      <rPr>
        <sz val="9"/>
        <color rgb="FF7A6A5F"/>
        <rFont val="Arial"/>
        <family val="0"/>
        <charset val="1"/>
      </rPr>
      <t xml:space="preserve">.</t>
    </r>
  </si>
  <si>
    <r>
      <rPr>
        <sz val="9"/>
        <color rgb="FF7A6A5F"/>
        <rFont val="Noto Sans CJK SC"/>
        <family val="2"/>
      </rPr>
      <t xml:space="preserve">※ 날짜</t>
    </r>
    <r>
      <rPr>
        <sz val="9"/>
        <color rgb="FF7A6A5F"/>
        <rFont val="Arial"/>
        <family val="0"/>
        <charset val="1"/>
      </rPr>
      <t xml:space="preserve">·</t>
    </r>
    <r>
      <rPr>
        <sz val="9"/>
        <color rgb="FF7A6A5F"/>
        <rFont val="Noto Sans CJK SC"/>
        <family val="2"/>
      </rPr>
      <t xml:space="preserve">시간 형식</t>
    </r>
    <r>
      <rPr>
        <sz val="9"/>
        <color rgb="FF7A6A5F"/>
        <rFont val="Arial"/>
        <family val="0"/>
        <charset val="1"/>
      </rPr>
      <t xml:space="preserve">: 10/23(</t>
    </r>
    <r>
      <rPr>
        <sz val="9"/>
        <color rgb="FF7A6A5F"/>
        <rFont val="Noto Sans CJK SC"/>
        <family val="2"/>
      </rPr>
      <t xml:space="preserve">금</t>
    </r>
    <r>
      <rPr>
        <sz val="9"/>
        <color rgb="FF7A6A5F"/>
        <rFont val="Arial"/>
        <family val="0"/>
        <charset val="1"/>
      </rPr>
      <t xml:space="preserve">) </t>
    </r>
    <r>
      <rPr>
        <sz val="9"/>
        <color rgb="FF7A6A5F"/>
        <rFont val="Noto Sans CJK SC"/>
        <family val="2"/>
      </rPr>
      <t xml:space="preserve">저녁 </t>
    </r>
    <r>
      <rPr>
        <sz val="9"/>
        <color rgb="FF7A6A5F"/>
        <rFont val="Arial"/>
        <family val="0"/>
        <charset val="1"/>
      </rPr>
      <t xml:space="preserve">(</t>
    </r>
    <r>
      <rPr>
        <sz val="9"/>
        <color rgb="FF7A6A5F"/>
        <rFont val="Noto Sans CJK SC"/>
        <family val="2"/>
      </rPr>
      <t xml:space="preserve">쉼표로 구분</t>
    </r>
    <r>
      <rPr>
        <sz val="9"/>
        <color rgb="FF7A6A5F"/>
        <rFont val="Arial"/>
        <family val="0"/>
        <charset val="1"/>
      </rPr>
      <t xml:space="preserve">, </t>
    </r>
    <r>
      <rPr>
        <sz val="9"/>
        <color rgb="FF7A6A5F"/>
        <rFont val="Noto Sans CJK SC"/>
        <family val="2"/>
      </rPr>
      <t xml:space="preserve">시간대는 점심</t>
    </r>
    <r>
      <rPr>
        <sz val="9"/>
        <color rgb="FF7A6A5F"/>
        <rFont val="Arial"/>
        <family val="0"/>
        <charset val="1"/>
      </rPr>
      <t xml:space="preserve">·</t>
    </r>
    <r>
      <rPr>
        <sz val="9"/>
        <color rgb="FF7A6A5F"/>
        <rFont val="Noto Sans CJK SC"/>
        <family val="2"/>
      </rPr>
      <t xml:space="preserve">저녁만</t>
    </r>
    <r>
      <rPr>
        <sz val="9"/>
        <color rgb="FF7A6A5F"/>
        <rFont val="Arial"/>
        <family val="0"/>
        <charset val="1"/>
      </rPr>
      <t xml:space="preserve">) / </t>
    </r>
    <r>
      <rPr>
        <sz val="9"/>
        <color rgb="FF7A6A5F"/>
        <rFont val="Noto Sans CJK SC"/>
        <family val="2"/>
      </rPr>
      <t xml:space="preserve">장소</t>
    </r>
    <r>
      <rPr>
        <sz val="9"/>
        <color rgb="FF7A6A5F"/>
        <rFont val="Arial"/>
        <family val="0"/>
        <charset val="1"/>
      </rPr>
      <t xml:space="preserve">·</t>
    </r>
    <r>
      <rPr>
        <sz val="9"/>
        <color rgb="FF7A6A5F"/>
        <rFont val="Noto Sans CJK SC"/>
        <family val="2"/>
      </rPr>
      <t xml:space="preserve">메뉴는 </t>
    </r>
    <r>
      <rPr>
        <sz val="9"/>
        <color rgb="FF7A6A5F"/>
        <rFont val="Arial"/>
        <family val="0"/>
        <charset val="1"/>
      </rPr>
      <t xml:space="preserve">'</t>
    </r>
    <r>
      <rPr>
        <sz val="9"/>
        <color rgb="FF7A6A5F"/>
        <rFont val="Noto Sans CJK SC"/>
        <family val="2"/>
      </rPr>
      <t xml:space="preserve">모집단</t>
    </r>
    <r>
      <rPr>
        <sz val="9"/>
        <color rgb="FF7A6A5F"/>
        <rFont val="Arial"/>
        <family val="0"/>
        <charset val="1"/>
      </rPr>
      <t xml:space="preserve">' </t>
    </r>
    <r>
      <rPr>
        <sz val="9"/>
        <color rgb="FF7A6A5F"/>
        <rFont val="Noto Sans CJK SC"/>
        <family val="2"/>
      </rPr>
      <t xml:space="preserve">시트의 항목만</t>
    </r>
    <r>
      <rPr>
        <sz val="9"/>
        <color rgb="FF7A6A5F"/>
        <rFont val="Arial"/>
        <family val="0"/>
        <charset val="1"/>
      </rPr>
      <t xml:space="preserve">, </t>
    </r>
    <r>
      <rPr>
        <sz val="9"/>
        <color rgb="FF7A6A5F"/>
        <rFont val="Noto Sans CJK SC"/>
        <family val="2"/>
      </rPr>
      <t xml:space="preserve">각 최대 </t>
    </r>
    <r>
      <rPr>
        <sz val="9"/>
        <color rgb="FF7A6A5F"/>
        <rFont val="Arial"/>
        <family val="0"/>
        <charset val="1"/>
      </rPr>
      <t xml:space="preserve">3</t>
    </r>
    <r>
      <rPr>
        <sz val="9"/>
        <color rgb="FF7A6A5F"/>
        <rFont val="Noto Sans CJK SC"/>
        <family val="2"/>
      </rPr>
      <t xml:space="preserve">개</t>
    </r>
  </si>
  <si>
    <r>
      <rPr>
        <sz val="9"/>
        <color rgb="FF7A6A5F"/>
        <rFont val="Noto Sans CJK SC"/>
        <family val="2"/>
      </rPr>
      <t xml:space="preserve">※ 음주 여부는 </t>
    </r>
    <r>
      <rPr>
        <sz val="9"/>
        <color rgb="FF7A6A5F"/>
        <rFont val="Arial"/>
        <family val="0"/>
        <charset val="1"/>
      </rPr>
      <t xml:space="preserve">O, △, X </t>
    </r>
    <r>
      <rPr>
        <sz val="9"/>
        <color rgb="FF7A6A5F"/>
        <rFont val="Noto Sans CJK SC"/>
        <family val="2"/>
      </rPr>
      <t xml:space="preserve">중 하나 </t>
    </r>
    <r>
      <rPr>
        <sz val="9"/>
        <color rgb="FF7A6A5F"/>
        <rFont val="Arial"/>
        <family val="0"/>
        <charset val="1"/>
      </rPr>
      <t xml:space="preserve">/ </t>
    </r>
    <r>
      <rPr>
        <sz val="9"/>
        <color rgb="FF7A6A5F"/>
        <rFont val="Noto Sans CJK SC"/>
        <family val="2"/>
      </rPr>
      <t xml:space="preserve">확인해주세요는 비워도 됩니다</t>
    </r>
    <r>
      <rPr>
        <sz val="9"/>
        <color rgb="FF7A6A5F"/>
        <rFont val="Arial"/>
        <family val="0"/>
        <charset val="1"/>
      </rPr>
      <t xml:space="preserve">.</t>
    </r>
  </si>
  <si>
    <r>
      <rPr>
        <sz val="9"/>
        <color rgb="FF7A6A5F"/>
        <rFont val="Noto Sans CJK SC"/>
        <family val="2"/>
      </rPr>
      <t xml:space="preserve">※ 시연 포인트</t>
    </r>
    <r>
      <rPr>
        <sz val="9"/>
        <color rgb="FF7A6A5F"/>
        <rFont val="Arial"/>
        <family val="0"/>
        <charset val="1"/>
      </rPr>
      <t xml:space="preserve">: 10/23(</t>
    </r>
    <r>
      <rPr>
        <sz val="9"/>
        <color rgb="FF7A6A5F"/>
        <rFont val="Noto Sans CJK SC"/>
        <family val="2"/>
      </rPr>
      <t xml:space="preserve">금</t>
    </r>
    <r>
      <rPr>
        <sz val="9"/>
        <color rgb="FF7A6A5F"/>
        <rFont val="Arial"/>
        <family val="0"/>
        <charset val="1"/>
      </rPr>
      <t xml:space="preserve">) </t>
    </r>
    <r>
      <rPr>
        <sz val="9"/>
        <color rgb="FF7A6A5F"/>
        <rFont val="Noto Sans CJK SC"/>
        <family val="2"/>
      </rPr>
      <t xml:space="preserve">저녁 만장일치</t>
    </r>
    <r>
      <rPr>
        <sz val="9"/>
        <color rgb="FF7A6A5F"/>
        <rFont val="Arial"/>
        <family val="0"/>
        <charset val="1"/>
      </rPr>
      <t xml:space="preserve">, </t>
    </r>
    <r>
      <rPr>
        <sz val="9"/>
        <color rgb="FF7A6A5F"/>
        <rFont val="Noto Sans CJK SC"/>
        <family val="2"/>
      </rPr>
      <t xml:space="preserve">날짜</t>
    </r>
    <r>
      <rPr>
        <sz val="9"/>
        <color rgb="FF7A6A5F"/>
        <rFont val="Arial"/>
        <family val="0"/>
        <charset val="1"/>
      </rPr>
      <t xml:space="preserve">·</t>
    </r>
    <r>
      <rPr>
        <sz val="9"/>
        <color rgb="FF7A6A5F"/>
        <rFont val="Noto Sans CJK SC"/>
        <family val="2"/>
      </rPr>
      <t xml:space="preserve">장소</t>
    </r>
    <r>
      <rPr>
        <sz val="9"/>
        <color rgb="FF7A6A5F"/>
        <rFont val="Arial"/>
        <family val="0"/>
        <charset val="1"/>
      </rPr>
      <t xml:space="preserve">·</t>
    </r>
    <r>
      <rPr>
        <sz val="9"/>
        <color rgb="FF7A6A5F"/>
        <rFont val="Noto Sans CJK SC"/>
        <family val="2"/>
      </rPr>
      <t xml:space="preserve">메뉴 모두 </t>
    </r>
    <r>
      <rPr>
        <sz val="9"/>
        <color rgb="FF7A6A5F"/>
        <rFont val="Arial"/>
        <family val="0"/>
        <charset val="1"/>
      </rPr>
      <t xml:space="preserve">'</t>
    </r>
    <r>
      <rPr>
        <sz val="9"/>
        <color rgb="FF7A6A5F"/>
        <rFont val="Noto Sans CJK SC"/>
        <family val="2"/>
      </rPr>
      <t xml:space="preserve">공동 </t>
    </r>
    <r>
      <rPr>
        <sz val="9"/>
        <color rgb="FF7A6A5F"/>
        <rFont val="Arial"/>
        <family val="0"/>
        <charset val="1"/>
      </rPr>
      <t xml:space="preserve">3</t>
    </r>
    <r>
      <rPr>
        <sz val="9"/>
        <color rgb="FF7A6A5F"/>
        <rFont val="Noto Sans CJK SC"/>
        <family val="2"/>
      </rPr>
      <t xml:space="preserve">위</t>
    </r>
    <r>
      <rPr>
        <sz val="9"/>
        <color rgb="FF7A6A5F"/>
        <rFont val="Arial"/>
        <family val="0"/>
        <charset val="1"/>
      </rPr>
      <t xml:space="preserve">' </t>
    </r>
    <r>
      <rPr>
        <sz val="9"/>
        <color rgb="FF7A6A5F"/>
        <rFont val="Noto Sans CJK SC"/>
        <family val="2"/>
      </rPr>
      <t xml:space="preserve">발생</t>
    </r>
    <r>
      <rPr>
        <sz val="9"/>
        <color rgb="FF7A6A5F"/>
        <rFont val="Arial"/>
        <family val="0"/>
        <charset val="1"/>
      </rPr>
      <t xml:space="preserve">, </t>
    </r>
    <r>
      <rPr>
        <sz val="9"/>
        <color rgb="FF7A6A5F"/>
        <rFont val="Noto Sans CJK SC"/>
        <family val="2"/>
      </rPr>
      <t xml:space="preserve">확인해주세요 </t>
    </r>
    <r>
      <rPr>
        <sz val="9"/>
        <color rgb="FF7A6A5F"/>
        <rFont val="Arial"/>
        <family val="0"/>
        <charset val="1"/>
      </rPr>
      <t xml:space="preserve">6</t>
    </r>
    <r>
      <rPr>
        <sz val="9"/>
        <color rgb="FF7A6A5F"/>
        <rFont val="Noto Sans CJK SC"/>
        <family val="2"/>
      </rPr>
      <t xml:space="preserve">건</t>
    </r>
    <r>
      <rPr>
        <sz val="9"/>
        <color rgb="FF7A6A5F"/>
        <rFont val="Arial"/>
        <family val="0"/>
        <charset val="1"/>
      </rPr>
      <t xml:space="preserve">(</t>
    </r>
    <r>
      <rPr>
        <sz val="9"/>
        <color rgb="FF7A6A5F"/>
        <rFont val="Noto Sans CJK SC"/>
        <family val="2"/>
      </rPr>
      <t xml:space="preserve">알레르기 </t>
    </r>
    <r>
      <rPr>
        <sz val="9"/>
        <color rgb="FF7A6A5F"/>
        <rFont val="Arial"/>
        <family val="0"/>
        <charset val="1"/>
      </rPr>
      <t xml:space="preserve">4 + </t>
    </r>
    <r>
      <rPr>
        <sz val="9"/>
        <color rgb="FF7A6A5F"/>
        <rFont val="Noto Sans CJK SC"/>
        <family val="2"/>
      </rPr>
      <t xml:space="preserve">매운 음식 </t>
    </r>
    <r>
      <rPr>
        <sz val="9"/>
        <color rgb="FF7A6A5F"/>
        <rFont val="Arial"/>
        <family val="0"/>
        <charset val="1"/>
      </rPr>
      <t xml:space="preserve">+ </t>
    </r>
    <r>
      <rPr>
        <sz val="9"/>
        <color rgb="FF7A6A5F"/>
        <rFont val="Noto Sans CJK SC"/>
        <family val="2"/>
      </rPr>
      <t xml:space="preserve">마라탕</t>
    </r>
    <r>
      <rPr>
        <sz val="9"/>
        <color rgb="FF7A6A5F"/>
        <rFont val="Arial"/>
        <family val="0"/>
        <charset val="1"/>
      </rPr>
      <t xml:space="preserve">)</t>
    </r>
  </si>
  <si>
    <r>
      <rPr>
        <sz val="9"/>
        <color rgb="FF7A6A5F"/>
        <rFont val="Noto Sans CJK SC"/>
        <family val="2"/>
      </rPr>
      <t xml:space="preserve">※ 조서윤</t>
    </r>
    <r>
      <rPr>
        <sz val="9"/>
        <color rgb="FF7A6A5F"/>
        <rFont val="Arial"/>
        <family val="0"/>
        <charset val="1"/>
      </rPr>
      <t xml:space="preserve">2493</t>
    </r>
    <r>
      <rPr>
        <sz val="9"/>
        <color rgb="FF7A6A5F"/>
        <rFont val="Noto Sans CJK SC"/>
        <family val="2"/>
      </rPr>
      <t xml:space="preserve">은 방장이며</t>
    </r>
    <r>
      <rPr>
        <sz val="9"/>
        <color rgb="FF7A6A5F"/>
        <rFont val="Arial"/>
        <family val="0"/>
        <charset val="1"/>
      </rPr>
      <t xml:space="preserve">, </t>
    </r>
    <r>
      <rPr>
        <sz val="9"/>
        <color rgb="FF7A6A5F"/>
        <rFont val="Noto Sans CJK SC"/>
        <family val="2"/>
      </rPr>
      <t xml:space="preserve">초대 링크로 입장해 다른 참여자와 똑같이 투표한 것으로 가정합니다</t>
    </r>
    <r>
      <rPr>
        <sz val="9"/>
        <color rgb="FF7A6A5F"/>
        <rFont val="Arial"/>
        <family val="0"/>
        <charset val="1"/>
      </rPr>
      <t xml:space="preserve">.</t>
    </r>
  </si>
  <si>
    <t xml:space="preserve">구분</t>
  </si>
  <si>
    <t xml:space="preserve">항목</t>
  </si>
  <si>
    <t xml:space="preserve">비고</t>
  </si>
  <si>
    <t xml:space="preserve">장소</t>
  </si>
  <si>
    <t xml:space="preserve">강남</t>
  </si>
  <si>
    <t xml:space="preserve">잠실</t>
  </si>
  <si>
    <t xml:space="preserve">여의도</t>
  </si>
  <si>
    <t xml:space="preserve">성수</t>
  </si>
  <si>
    <t xml:space="preserve">종로</t>
  </si>
  <si>
    <t xml:space="preserve">홍대</t>
  </si>
  <si>
    <t xml:space="preserve">용산</t>
  </si>
  <si>
    <t xml:space="preserve">이태원</t>
  </si>
  <si>
    <t xml:space="preserve">문래</t>
  </si>
  <si>
    <t xml:space="preserve">메뉴</t>
  </si>
  <si>
    <t xml:space="preserve">한식</t>
  </si>
  <si>
    <t xml:space="preserve">양식</t>
  </si>
  <si>
    <t xml:space="preserve">일식</t>
  </si>
  <si>
    <t xml:space="preserve">시간대</t>
  </si>
  <si>
    <t xml:space="preserve">점심</t>
  </si>
  <si>
    <t xml:space="preserve">저녁</t>
  </si>
  <si>
    <t xml:space="preserve">음주</t>
  </si>
  <si>
    <r>
      <rPr>
        <sz val="11"/>
        <rFont val="Noto Sans CJK SC"/>
        <family val="2"/>
      </rPr>
      <t xml:space="preserve">오늘은 달려봐요</t>
    </r>
    <r>
      <rPr>
        <sz val="11"/>
        <rFont val="Arial"/>
        <family val="0"/>
        <charset val="1"/>
      </rPr>
      <t xml:space="preserve">! </t>
    </r>
    <r>
      <rPr>
        <sz val="11"/>
        <rFont val="Noto Sans CJK SC"/>
        <family val="2"/>
      </rPr>
      <t xml:space="preserve">끝까지 함께할게요 🍻</t>
    </r>
  </si>
  <si>
    <t xml:space="preserve">분위기 보고 가볍게 한두 잔 할게요</t>
  </si>
  <si>
    <r>
      <rPr>
        <sz val="11"/>
        <rFont val="Noto Sans CJK SC"/>
        <family val="2"/>
      </rPr>
      <t xml:space="preserve">오늘은 쉬어갈게요</t>
    </r>
    <r>
      <rPr>
        <sz val="11"/>
        <rFont val="Arial"/>
        <family val="0"/>
        <charset val="1"/>
      </rPr>
      <t xml:space="preserve">. </t>
    </r>
    <r>
      <rPr>
        <sz val="11"/>
        <rFont val="Noto Sans CJK SC"/>
        <family val="2"/>
      </rPr>
      <t xml:space="preserve">음료로 건배해요 🥤</t>
    </r>
  </si>
  <si>
    <r>
      <rPr>
        <b val="true"/>
        <sz val="11"/>
        <rFont val="Noto Sans CJK SC"/>
        <family val="2"/>
      </rPr>
      <t xml:space="preserve">세부 메뉴 예시 </t>
    </r>
    <r>
      <rPr>
        <b val="true"/>
        <sz val="11"/>
        <rFont val="Arial"/>
        <family val="0"/>
        <charset val="1"/>
      </rPr>
      <t xml:space="preserve">DB (</t>
    </r>
    <r>
      <rPr>
        <b val="true"/>
        <sz val="11"/>
        <rFont val="Noto Sans CJK SC"/>
        <family val="2"/>
      </rPr>
      <t xml:space="preserve">성준님 </t>
    </r>
    <r>
      <rPr>
        <b val="true"/>
        <sz val="11"/>
        <rFont val="Arial"/>
        <family val="0"/>
        <charset val="1"/>
      </rPr>
      <t xml:space="preserve">DB</t>
    </r>
    <r>
      <rPr>
        <b val="true"/>
        <sz val="11"/>
        <rFont val="Noto Sans CJK SC"/>
        <family val="2"/>
      </rPr>
      <t xml:space="preserve">로 교체 예정 </t>
    </r>
    <r>
      <rPr>
        <b val="true"/>
        <sz val="11"/>
        <rFont val="Arial"/>
        <family val="0"/>
        <charset val="1"/>
      </rPr>
      <t xml:space="preserve">· </t>
    </r>
    <r>
      <rPr>
        <b val="true"/>
        <sz val="11"/>
        <rFont val="Noto Sans CJK SC"/>
        <family val="2"/>
      </rPr>
      <t xml:space="preserve">괄호는 주의 재료</t>
    </r>
    <r>
      <rPr>
        <b val="true"/>
        <sz val="11"/>
        <rFont val="Arial"/>
        <family val="0"/>
        <charset val="1"/>
      </rPr>
      <t xml:space="preserve">)</t>
    </r>
  </si>
  <si>
    <t xml:space="preserve">카테고리</t>
  </si>
  <si>
    <t xml:space="preserve">세부 메뉴</t>
  </si>
  <si>
    <t xml:space="preserve">주의 재료</t>
  </si>
  <si>
    <t xml:space="preserve">보쌈</t>
  </si>
  <si>
    <t xml:space="preserve">김치찌개</t>
  </si>
  <si>
    <t xml:space="preserve">매운</t>
  </si>
  <si>
    <t xml:space="preserve">닭갈비</t>
  </si>
  <si>
    <r>
      <rPr>
        <sz val="11"/>
        <rFont val="Noto Sans CJK SC"/>
        <family val="2"/>
      </rPr>
      <t xml:space="preserve">밀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매운</t>
    </r>
  </si>
  <si>
    <t xml:space="preserve">비빔밥</t>
  </si>
  <si>
    <t xml:space="preserve">계란</t>
  </si>
  <si>
    <t xml:space="preserve">해물파전</t>
  </si>
  <si>
    <r>
      <rPr>
        <sz val="11"/>
        <rFont val="Noto Sans CJK SC"/>
        <family val="2"/>
      </rPr>
      <t xml:space="preserve">갑각류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조개류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밀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계란</t>
    </r>
  </si>
  <si>
    <t xml:space="preserve">짜장면</t>
  </si>
  <si>
    <t xml:space="preserve">밀</t>
  </si>
  <si>
    <t xml:space="preserve">마라탕</t>
  </si>
  <si>
    <r>
      <rPr>
        <sz val="11"/>
        <rFont val="Noto Sans CJK SC"/>
        <family val="2"/>
      </rPr>
      <t xml:space="preserve">땅콩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밀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매운</t>
    </r>
  </si>
  <si>
    <t xml:space="preserve">탕수육</t>
  </si>
  <si>
    <r>
      <rPr>
        <sz val="11"/>
        <rFont val="Noto Sans CJK SC"/>
        <family val="2"/>
      </rPr>
      <t xml:space="preserve">밀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계란</t>
    </r>
  </si>
  <si>
    <t xml:space="preserve">딤섬</t>
  </si>
  <si>
    <r>
      <rPr>
        <sz val="11"/>
        <rFont val="Noto Sans CJK SC"/>
        <family val="2"/>
      </rPr>
      <t xml:space="preserve">밀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갑각류</t>
    </r>
  </si>
  <si>
    <t xml:space="preserve">스테이크</t>
  </si>
  <si>
    <t xml:space="preserve">파스타</t>
  </si>
  <si>
    <r>
      <rPr>
        <sz val="11"/>
        <rFont val="Noto Sans CJK SC"/>
        <family val="2"/>
      </rPr>
      <t xml:space="preserve">밀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우유</t>
    </r>
  </si>
  <si>
    <t xml:space="preserve">리조또</t>
  </si>
  <si>
    <t xml:space="preserve">우유</t>
  </si>
  <si>
    <t xml:space="preserve">피자</t>
  </si>
  <si>
    <t xml:space="preserve">규동</t>
  </si>
  <si>
    <t xml:space="preserve">초밥</t>
  </si>
  <si>
    <r>
      <rPr>
        <sz val="11"/>
        <rFont val="Noto Sans CJK SC"/>
        <family val="2"/>
      </rPr>
      <t xml:space="preserve">갑각류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조개류</t>
    </r>
  </si>
  <si>
    <t xml:space="preserve">돈카츠</t>
  </si>
  <si>
    <t xml:space="preserve">라멘</t>
  </si>
  <si>
    <t xml:space="preserve">쌀국수</t>
  </si>
  <si>
    <t xml:space="preserve">분짜</t>
  </si>
  <si>
    <t xml:space="preserve">땅콩</t>
  </si>
  <si>
    <t xml:space="preserve">팟타이</t>
  </si>
  <si>
    <r>
      <rPr>
        <sz val="11"/>
        <rFont val="Noto Sans CJK SC"/>
        <family val="2"/>
      </rPr>
      <t xml:space="preserve">땅콩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갑각류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계란</t>
    </r>
  </si>
  <si>
    <t xml:space="preserve">똠얌꿍</t>
  </si>
  <si>
    <r>
      <rPr>
        <sz val="11"/>
        <rFont val="Noto Sans CJK SC"/>
        <family val="2"/>
      </rPr>
      <t xml:space="preserve">갑각류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매운</t>
    </r>
  </si>
  <si>
    <t xml:space="preserve">타코</t>
  </si>
  <si>
    <t xml:space="preserve">부리토</t>
  </si>
  <si>
    <t xml:space="preserve">퀘사디아</t>
  </si>
  <si>
    <t xml:space="preserve">나초</t>
  </si>
  <si>
    <t xml:space="preserve">포케</t>
  </si>
  <si>
    <t xml:space="preserve">연어샐러드</t>
  </si>
  <si>
    <t xml:space="preserve">리코타 샐러드</t>
  </si>
  <si>
    <t xml:space="preserve">견과류 샐러드볼</t>
  </si>
  <si>
    <r>
      <rPr>
        <sz val="11"/>
        <rFont val="Noto Sans CJK SC"/>
        <family val="2"/>
      </rPr>
      <t xml:space="preserve">견과류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땅콩</t>
    </r>
  </si>
  <si>
    <t xml:space="preserve">총 참여 인원</t>
  </si>
  <si>
    <r>
      <rPr>
        <sz val="9"/>
        <color rgb="FF7A6A5F"/>
        <rFont val="Noto Sans CJK SC"/>
        <family val="2"/>
      </rPr>
      <t xml:space="preserve">※ 앱 랭킹 로직 검증용 정답지입니다</t>
    </r>
    <r>
      <rPr>
        <sz val="9"/>
        <color rgb="FF7A6A5F"/>
        <rFont val="Arial"/>
        <family val="0"/>
        <charset val="1"/>
      </rPr>
      <t xml:space="preserve">. </t>
    </r>
    <r>
      <rPr>
        <sz val="9"/>
        <color rgb="FF7A6A5F"/>
        <rFont val="Noto Sans CJK SC"/>
        <family val="2"/>
      </rPr>
      <t xml:space="preserve">순위는 동률이면 같은 순위</t>
    </r>
    <r>
      <rPr>
        <sz val="9"/>
        <color rgb="FF7A6A5F"/>
        <rFont val="Arial"/>
        <family val="0"/>
        <charset val="1"/>
      </rPr>
      <t xml:space="preserve">('</t>
    </r>
    <r>
      <rPr>
        <sz val="9"/>
        <color rgb="FF7A6A5F"/>
        <rFont val="Noto Sans CJK SC"/>
        <family val="2"/>
      </rPr>
      <t xml:space="preserve">공동</t>
    </r>
    <r>
      <rPr>
        <sz val="9"/>
        <color rgb="FF7A6A5F"/>
        <rFont val="Arial"/>
        <family val="0"/>
        <charset val="1"/>
      </rPr>
      <t xml:space="preserve">')</t>
    </r>
    <r>
      <rPr>
        <sz val="9"/>
        <color rgb="FF7A6A5F"/>
        <rFont val="Noto Sans CJK SC"/>
        <family val="2"/>
      </rPr>
      <t xml:space="preserve">이고</t>
    </r>
    <r>
      <rPr>
        <sz val="9"/>
        <color rgb="FF7A6A5F"/>
        <rFont val="Arial"/>
        <family val="0"/>
        <charset val="1"/>
      </rPr>
      <t xml:space="preserve">, </t>
    </r>
    <r>
      <rPr>
        <sz val="9"/>
        <color rgb="FF7A6A5F"/>
        <rFont val="Noto Sans CJK SC"/>
        <family val="2"/>
      </rPr>
      <t xml:space="preserve">다음 순위는 건너뜁니다</t>
    </r>
    <r>
      <rPr>
        <sz val="9"/>
        <color rgb="FF7A6A5F"/>
        <rFont val="Arial"/>
        <family val="0"/>
        <charset val="1"/>
      </rPr>
      <t xml:space="preserve">.</t>
    </r>
  </si>
  <si>
    <r>
      <rPr>
        <b val="true"/>
        <sz val="11"/>
        <color rgb="FFFFFFFF"/>
        <rFont val="Noto Sans CJK SC"/>
        <family val="2"/>
      </rPr>
      <t xml:space="preserve">날짜</t>
    </r>
    <r>
      <rPr>
        <b val="true"/>
        <sz val="11"/>
        <color rgb="FFFFFFFF"/>
        <rFont val="Arial"/>
        <family val="0"/>
        <charset val="1"/>
      </rPr>
      <t xml:space="preserve">·</t>
    </r>
    <r>
      <rPr>
        <b val="true"/>
        <sz val="11"/>
        <color rgb="FFFFFFFF"/>
        <rFont val="Noto Sans CJK SC"/>
        <family val="2"/>
      </rPr>
      <t xml:space="preserve">시간</t>
    </r>
  </si>
  <si>
    <t xml:space="preserve">표 수</t>
  </si>
  <si>
    <t xml:space="preserve">순위</t>
  </si>
  <si>
    <t xml:space="preserve">순위 표기</t>
  </si>
  <si>
    <t xml:space="preserve">만장일치</t>
  </si>
  <si>
    <r>
      <rPr>
        <sz val="11"/>
        <rFont val="Arial"/>
        <family val="0"/>
        <charset val="1"/>
      </rPr>
      <t xml:space="preserve">10/16(</t>
    </r>
    <r>
      <rPr>
        <sz val="11"/>
        <rFont val="Noto Sans CJK SC"/>
        <family val="2"/>
      </rPr>
      <t xml:space="preserve">금</t>
    </r>
    <r>
      <rPr>
        <sz val="11"/>
        <rFont val="Arial"/>
        <family val="0"/>
        <charset val="1"/>
      </rPr>
      <t xml:space="preserve">) </t>
    </r>
    <r>
      <rPr>
        <sz val="11"/>
        <rFont val="Noto Sans CJK SC"/>
        <family val="2"/>
      </rPr>
      <t xml:space="preserve">저녁</t>
    </r>
  </si>
  <si>
    <r>
      <rPr>
        <sz val="11"/>
        <rFont val="Arial"/>
        <family val="0"/>
        <charset val="1"/>
      </rPr>
      <t xml:space="preserve">10/22(</t>
    </r>
    <r>
      <rPr>
        <sz val="11"/>
        <rFont val="Noto Sans CJK SC"/>
        <family val="2"/>
      </rPr>
      <t xml:space="preserve">목</t>
    </r>
    <r>
      <rPr>
        <sz val="11"/>
        <rFont val="Arial"/>
        <family val="0"/>
        <charset val="1"/>
      </rPr>
      <t xml:space="preserve">) </t>
    </r>
    <r>
      <rPr>
        <sz val="11"/>
        <rFont val="Noto Sans CJK SC"/>
        <family val="2"/>
      </rPr>
      <t xml:space="preserve">저녁</t>
    </r>
  </si>
  <si>
    <r>
      <rPr>
        <sz val="11"/>
        <rFont val="Arial"/>
        <family val="0"/>
        <charset val="1"/>
      </rPr>
      <t xml:space="preserve">10/23(</t>
    </r>
    <r>
      <rPr>
        <sz val="11"/>
        <rFont val="Noto Sans CJK SC"/>
        <family val="2"/>
      </rPr>
      <t xml:space="preserve">금</t>
    </r>
    <r>
      <rPr>
        <sz val="11"/>
        <rFont val="Arial"/>
        <family val="0"/>
        <charset val="1"/>
      </rPr>
      <t xml:space="preserve">) </t>
    </r>
    <r>
      <rPr>
        <sz val="11"/>
        <rFont val="Noto Sans CJK SC"/>
        <family val="2"/>
      </rPr>
      <t xml:space="preserve">저녁</t>
    </r>
  </si>
  <si>
    <r>
      <rPr>
        <sz val="11"/>
        <rFont val="Arial"/>
        <family val="0"/>
        <charset val="1"/>
      </rPr>
      <t xml:space="preserve">10/24(</t>
    </r>
    <r>
      <rPr>
        <sz val="11"/>
        <rFont val="Noto Sans CJK SC"/>
        <family val="2"/>
      </rPr>
      <t xml:space="preserve">토</t>
    </r>
    <r>
      <rPr>
        <sz val="11"/>
        <rFont val="Arial"/>
        <family val="0"/>
        <charset val="1"/>
      </rPr>
      <t xml:space="preserve">) </t>
    </r>
    <r>
      <rPr>
        <sz val="11"/>
        <rFont val="Noto Sans CJK SC"/>
        <family val="2"/>
      </rPr>
      <t xml:space="preserve">저녁</t>
    </r>
  </si>
  <si>
    <r>
      <rPr>
        <sz val="11"/>
        <rFont val="Arial"/>
        <family val="0"/>
        <charset val="1"/>
      </rPr>
      <t xml:space="preserve">10/30(</t>
    </r>
    <r>
      <rPr>
        <sz val="11"/>
        <rFont val="Noto Sans CJK SC"/>
        <family val="2"/>
      </rPr>
      <t xml:space="preserve">금</t>
    </r>
    <r>
      <rPr>
        <sz val="11"/>
        <rFont val="Arial"/>
        <family val="0"/>
        <charset val="1"/>
      </rPr>
      <t xml:space="preserve">) </t>
    </r>
    <r>
      <rPr>
        <sz val="11"/>
        <rFont val="Noto Sans CJK SC"/>
        <family val="2"/>
      </rPr>
      <t xml:space="preserve">점심</t>
    </r>
  </si>
  <si>
    <r>
      <rPr>
        <sz val="11"/>
        <rFont val="Arial"/>
        <family val="0"/>
        <charset val="1"/>
      </rPr>
      <t xml:space="preserve">10/31(</t>
    </r>
    <r>
      <rPr>
        <sz val="11"/>
        <rFont val="Noto Sans CJK SC"/>
        <family val="2"/>
      </rPr>
      <t xml:space="preserve">토</t>
    </r>
    <r>
      <rPr>
        <sz val="11"/>
        <rFont val="Arial"/>
        <family val="0"/>
        <charset val="1"/>
      </rPr>
      <t xml:space="preserve">) </t>
    </r>
    <r>
      <rPr>
        <sz val="11"/>
        <rFont val="Noto Sans CJK SC"/>
        <family val="2"/>
      </rPr>
      <t xml:space="preserve">점심</t>
    </r>
  </si>
  <si>
    <r>
      <rPr>
        <b val="true"/>
        <sz val="11"/>
        <color rgb="FFFFFFFF"/>
        <rFont val="Noto Sans CJK SC"/>
        <family val="2"/>
      </rPr>
      <t xml:space="preserve">희망 메뉴</t>
    </r>
    <r>
      <rPr>
        <b val="true"/>
        <sz val="11"/>
        <color rgb="FFFFFFFF"/>
        <rFont val="Arial"/>
        <family val="0"/>
        <charset val="1"/>
      </rPr>
      <t xml:space="preserve">(</t>
    </r>
    <r>
      <rPr>
        <b val="true"/>
        <sz val="11"/>
        <color rgb="FFFFFFFF"/>
        <rFont val="Noto Sans CJK SC"/>
        <family val="2"/>
      </rPr>
      <t xml:space="preserve">좋아요</t>
    </r>
    <r>
      <rPr>
        <b val="true"/>
        <sz val="11"/>
        <color rgb="FFFFFFFF"/>
        <rFont val="Arial"/>
        <family val="0"/>
        <charset val="1"/>
      </rPr>
      <t xml:space="preserve">)</t>
    </r>
  </si>
  <si>
    <r>
      <rPr>
        <b val="true"/>
        <sz val="11"/>
        <color rgb="FFFFFFFF"/>
        <rFont val="Noto Sans CJK SC"/>
        <family val="2"/>
      </rPr>
      <t xml:space="preserve">기피 메뉴</t>
    </r>
    <r>
      <rPr>
        <b val="true"/>
        <sz val="11"/>
        <color rgb="FFFFFFFF"/>
        <rFont val="Arial"/>
        <family val="0"/>
        <charset val="1"/>
      </rPr>
      <t xml:space="preserve">(</t>
    </r>
    <r>
      <rPr>
        <b val="true"/>
        <sz val="11"/>
        <color rgb="FFFFFFFF"/>
        <rFont val="Noto Sans CJK SC"/>
        <family val="2"/>
      </rPr>
      <t xml:space="preserve">싫어요</t>
    </r>
    <r>
      <rPr>
        <b val="true"/>
        <sz val="11"/>
        <color rgb="FFFFFFFF"/>
        <rFont val="Arial"/>
        <family val="0"/>
        <charset val="1"/>
      </rPr>
      <t xml:space="preserve">)</t>
    </r>
  </si>
  <si>
    <t xml:space="preserve">확인해주세요 건수</t>
  </si>
  <si>
    <r>
      <rPr>
        <b val="true"/>
        <sz val="11"/>
        <rFont val="Noto Sans CJK SC"/>
        <family val="2"/>
      </rPr>
      <t xml:space="preserve">앱의 </t>
    </r>
    <r>
      <rPr>
        <b val="true"/>
        <sz val="11"/>
        <rFont val="Arial"/>
        <family val="0"/>
        <charset val="1"/>
      </rPr>
      <t xml:space="preserve">[</t>
    </r>
    <r>
      <rPr>
        <b val="true"/>
        <sz val="11"/>
        <rFont val="Noto Sans CJK SC"/>
        <family val="2"/>
      </rPr>
      <t xml:space="preserve">단톡방에 공유하기</t>
    </r>
    <r>
      <rPr>
        <b val="true"/>
        <sz val="11"/>
        <rFont val="Arial"/>
        <family val="0"/>
        <charset val="1"/>
      </rPr>
      <t xml:space="preserve">]</t>
    </r>
    <r>
      <rPr>
        <b val="true"/>
        <sz val="11"/>
        <rFont val="Noto Sans CJK SC"/>
        <family val="2"/>
      </rPr>
      <t xml:space="preserve">로 복사되는 텍스트 정답 </t>
    </r>
    <r>
      <rPr>
        <b val="true"/>
        <sz val="11"/>
        <rFont val="Arial"/>
        <family val="0"/>
        <charset val="1"/>
      </rPr>
      <t xml:space="preserve">(</t>
    </r>
    <r>
      <rPr>
        <b val="true"/>
        <sz val="11"/>
        <rFont val="Noto Sans CJK SC"/>
        <family val="2"/>
      </rPr>
      <t xml:space="preserve">현재 입력값 기준</t>
    </r>
    <r>
      <rPr>
        <b val="true"/>
        <sz val="11"/>
        <rFont val="Arial"/>
        <family val="0"/>
        <charset val="1"/>
      </rPr>
      <t xml:space="preserve">)</t>
    </r>
  </si>
  <si>
    <r>
      <rPr>
        <sz val="11"/>
        <rFont val="Arial"/>
        <family val="0"/>
        <charset val="1"/>
      </rPr>
      <t xml:space="preserve">[</t>
    </r>
    <r>
      <rPr>
        <sz val="11"/>
        <rFont val="Noto Sans CJK SC"/>
        <family val="2"/>
      </rPr>
      <t xml:space="preserve">콘텐츠팀 회식</t>
    </r>
    <r>
      <rPr>
        <sz val="11"/>
        <rFont val="Arial"/>
        <family val="0"/>
        <charset val="1"/>
      </rPr>
      <t xml:space="preserve">] </t>
    </r>
    <r>
      <rPr>
        <sz val="11"/>
        <rFont val="Noto Sans CJK SC"/>
        <family val="2"/>
      </rPr>
      <t xml:space="preserve">모임 결과 요약 </t>
    </r>
    <r>
      <rPr>
        <sz val="11"/>
        <rFont val="Arial"/>
        <family val="0"/>
        <charset val="1"/>
      </rPr>
      <t xml:space="preserve">(10</t>
    </r>
    <r>
      <rPr>
        <sz val="11"/>
        <rFont val="Noto Sans CJK SC"/>
        <family val="2"/>
      </rPr>
      <t xml:space="preserve">명 참여</t>
    </r>
    <r>
      <rPr>
        <sz val="11"/>
        <rFont val="Arial"/>
        <family val="0"/>
        <charset val="1"/>
      </rPr>
      <t xml:space="preserve">)</t>
    </r>
  </si>
  <si>
    <t xml:space="preserve">날짜</t>
  </si>
  <si>
    <r>
      <rPr>
        <sz val="11"/>
        <rFont val="Arial"/>
        <family val="0"/>
        <charset val="1"/>
      </rPr>
      <t xml:space="preserve">  1</t>
    </r>
    <r>
      <rPr>
        <sz val="11"/>
        <rFont val="Noto Sans CJK SC"/>
        <family val="2"/>
      </rPr>
      <t xml:space="preserve">위 </t>
    </r>
    <r>
      <rPr>
        <sz val="11"/>
        <rFont val="Arial"/>
        <family val="0"/>
        <charset val="1"/>
      </rPr>
      <t xml:space="preserve">10/23(</t>
    </r>
    <r>
      <rPr>
        <sz val="11"/>
        <rFont val="Noto Sans CJK SC"/>
        <family val="2"/>
      </rPr>
      <t xml:space="preserve">금</t>
    </r>
    <r>
      <rPr>
        <sz val="11"/>
        <rFont val="Arial"/>
        <family val="0"/>
        <charset val="1"/>
      </rPr>
      <t xml:space="preserve">) </t>
    </r>
    <r>
      <rPr>
        <sz val="11"/>
        <rFont val="Noto Sans CJK SC"/>
        <family val="2"/>
      </rPr>
      <t xml:space="preserve">저녁 </t>
    </r>
    <r>
      <rPr>
        <sz val="11"/>
        <rFont val="Arial"/>
        <family val="0"/>
        <charset val="1"/>
      </rPr>
      <t xml:space="preserve">(10</t>
    </r>
    <r>
      <rPr>
        <sz val="11"/>
        <rFont val="Noto Sans CJK SC"/>
        <family val="2"/>
      </rPr>
      <t xml:space="preserve">표</t>
    </r>
    <r>
      <rPr>
        <sz val="11"/>
        <rFont val="Arial"/>
        <family val="0"/>
        <charset val="1"/>
      </rPr>
      <t xml:space="preserve">) [</t>
    </r>
    <r>
      <rPr>
        <sz val="11"/>
        <rFont val="Noto Sans CJK SC"/>
        <family val="2"/>
      </rPr>
      <t xml:space="preserve">만장일치</t>
    </r>
    <r>
      <rPr>
        <sz val="11"/>
        <rFont val="Arial"/>
        <family val="0"/>
        <charset val="1"/>
      </rPr>
      <t xml:space="preserve">]</t>
    </r>
  </si>
  <si>
    <r>
      <rPr>
        <sz val="11"/>
        <rFont val="Arial"/>
        <family val="0"/>
        <charset val="1"/>
      </rPr>
      <t xml:space="preserve">  2</t>
    </r>
    <r>
      <rPr>
        <sz val="11"/>
        <rFont val="Noto Sans CJK SC"/>
        <family val="2"/>
      </rPr>
      <t xml:space="preserve">위 </t>
    </r>
    <r>
      <rPr>
        <sz val="11"/>
        <rFont val="Arial"/>
        <family val="0"/>
        <charset val="1"/>
      </rPr>
      <t xml:space="preserve">10/16(</t>
    </r>
    <r>
      <rPr>
        <sz val="11"/>
        <rFont val="Noto Sans CJK SC"/>
        <family val="2"/>
      </rPr>
      <t xml:space="preserve">금</t>
    </r>
    <r>
      <rPr>
        <sz val="11"/>
        <rFont val="Arial"/>
        <family val="0"/>
        <charset val="1"/>
      </rPr>
      <t xml:space="preserve">) </t>
    </r>
    <r>
      <rPr>
        <sz val="11"/>
        <rFont val="Noto Sans CJK SC"/>
        <family val="2"/>
      </rPr>
      <t xml:space="preserve">저녁 </t>
    </r>
    <r>
      <rPr>
        <sz val="11"/>
        <rFont val="Arial"/>
        <family val="0"/>
        <charset val="1"/>
      </rPr>
      <t xml:space="preserve">(7</t>
    </r>
    <r>
      <rPr>
        <sz val="11"/>
        <rFont val="Noto Sans CJK SC"/>
        <family val="2"/>
      </rPr>
      <t xml:space="preserve">표</t>
    </r>
    <r>
      <rPr>
        <sz val="11"/>
        <rFont val="Arial"/>
        <family val="0"/>
        <charset val="1"/>
      </rPr>
      <t xml:space="preserve">)</t>
    </r>
  </si>
  <si>
    <r>
      <rPr>
        <sz val="11"/>
        <rFont val="Noto Sans CJK SC"/>
        <family val="2"/>
      </rPr>
      <t xml:space="preserve">  공동 </t>
    </r>
    <r>
      <rPr>
        <sz val="11"/>
        <rFont val="Arial"/>
        <family val="0"/>
        <charset val="1"/>
      </rPr>
      <t xml:space="preserve">3</t>
    </r>
    <r>
      <rPr>
        <sz val="11"/>
        <rFont val="Noto Sans CJK SC"/>
        <family val="2"/>
      </rPr>
      <t xml:space="preserve">위 </t>
    </r>
    <r>
      <rPr>
        <sz val="11"/>
        <rFont val="Arial"/>
        <family val="0"/>
        <charset val="1"/>
      </rPr>
      <t xml:space="preserve">10/22(</t>
    </r>
    <r>
      <rPr>
        <sz val="11"/>
        <rFont val="Noto Sans CJK SC"/>
        <family val="2"/>
      </rPr>
      <t xml:space="preserve">목</t>
    </r>
    <r>
      <rPr>
        <sz val="11"/>
        <rFont val="Arial"/>
        <family val="0"/>
        <charset val="1"/>
      </rPr>
      <t xml:space="preserve">) </t>
    </r>
    <r>
      <rPr>
        <sz val="11"/>
        <rFont val="Noto Sans CJK SC"/>
        <family val="2"/>
      </rPr>
      <t xml:space="preserve">저녁 </t>
    </r>
    <r>
      <rPr>
        <sz val="11"/>
        <rFont val="Arial"/>
        <family val="0"/>
        <charset val="1"/>
      </rPr>
      <t xml:space="preserve">· 10/30(</t>
    </r>
    <r>
      <rPr>
        <sz val="11"/>
        <rFont val="Noto Sans CJK SC"/>
        <family val="2"/>
      </rPr>
      <t xml:space="preserve">금</t>
    </r>
    <r>
      <rPr>
        <sz val="11"/>
        <rFont val="Arial"/>
        <family val="0"/>
        <charset val="1"/>
      </rPr>
      <t xml:space="preserve">) </t>
    </r>
    <r>
      <rPr>
        <sz val="11"/>
        <rFont val="Noto Sans CJK SC"/>
        <family val="2"/>
      </rPr>
      <t xml:space="preserve">점심 </t>
    </r>
    <r>
      <rPr>
        <sz val="11"/>
        <rFont val="Arial"/>
        <family val="0"/>
        <charset val="1"/>
      </rPr>
      <t xml:space="preserve">(4</t>
    </r>
    <r>
      <rPr>
        <sz val="11"/>
        <rFont val="Noto Sans CJK SC"/>
        <family val="2"/>
      </rPr>
      <t xml:space="preserve">표</t>
    </r>
    <r>
      <rPr>
        <sz val="11"/>
        <rFont val="Arial"/>
        <family val="0"/>
        <charset val="1"/>
      </rPr>
      <t xml:space="preserve">)</t>
    </r>
  </si>
  <si>
    <r>
      <rPr>
        <sz val="11"/>
        <rFont val="Arial"/>
        <family val="0"/>
        <charset val="1"/>
      </rPr>
      <t xml:space="preserve">  1</t>
    </r>
    <r>
      <rPr>
        <sz val="11"/>
        <rFont val="Noto Sans CJK SC"/>
        <family val="2"/>
      </rPr>
      <t xml:space="preserve">위 강남 </t>
    </r>
    <r>
      <rPr>
        <sz val="11"/>
        <rFont val="Arial"/>
        <family val="0"/>
        <charset val="1"/>
      </rPr>
      <t xml:space="preserve">(7</t>
    </r>
    <r>
      <rPr>
        <sz val="11"/>
        <rFont val="Noto Sans CJK SC"/>
        <family val="2"/>
      </rPr>
      <t xml:space="preserve">표</t>
    </r>
    <r>
      <rPr>
        <sz val="11"/>
        <rFont val="Arial"/>
        <family val="0"/>
        <charset val="1"/>
      </rPr>
      <t xml:space="preserve">)</t>
    </r>
  </si>
  <si>
    <r>
      <rPr>
        <sz val="11"/>
        <rFont val="Arial"/>
        <family val="0"/>
        <charset val="1"/>
      </rPr>
      <t xml:space="preserve">  2</t>
    </r>
    <r>
      <rPr>
        <sz val="11"/>
        <rFont val="Noto Sans CJK SC"/>
        <family val="2"/>
      </rPr>
      <t xml:space="preserve">위 성수 </t>
    </r>
    <r>
      <rPr>
        <sz val="11"/>
        <rFont val="Arial"/>
        <family val="0"/>
        <charset val="1"/>
      </rPr>
      <t xml:space="preserve">(6</t>
    </r>
    <r>
      <rPr>
        <sz val="11"/>
        <rFont val="Noto Sans CJK SC"/>
        <family val="2"/>
      </rPr>
      <t xml:space="preserve">표</t>
    </r>
    <r>
      <rPr>
        <sz val="11"/>
        <rFont val="Arial"/>
        <family val="0"/>
        <charset val="1"/>
      </rPr>
      <t xml:space="preserve">)</t>
    </r>
  </si>
  <si>
    <r>
      <rPr>
        <sz val="11"/>
        <rFont val="Noto Sans CJK SC"/>
        <family val="2"/>
      </rPr>
      <t xml:space="preserve">  공동 </t>
    </r>
    <r>
      <rPr>
        <sz val="11"/>
        <rFont val="Arial"/>
        <family val="0"/>
        <charset val="1"/>
      </rPr>
      <t xml:space="preserve">3</t>
    </r>
    <r>
      <rPr>
        <sz val="11"/>
        <rFont val="Noto Sans CJK SC"/>
        <family val="2"/>
      </rPr>
      <t xml:space="preserve">위 여의도 </t>
    </r>
    <r>
      <rPr>
        <sz val="11"/>
        <rFont val="Arial"/>
        <family val="0"/>
        <charset val="1"/>
      </rPr>
      <t xml:space="preserve">· </t>
    </r>
    <r>
      <rPr>
        <sz val="11"/>
        <rFont val="Noto Sans CJK SC"/>
        <family val="2"/>
      </rPr>
      <t xml:space="preserve">종로 </t>
    </r>
    <r>
      <rPr>
        <sz val="11"/>
        <rFont val="Arial"/>
        <family val="0"/>
        <charset val="1"/>
      </rPr>
      <t xml:space="preserve">(3</t>
    </r>
    <r>
      <rPr>
        <sz val="11"/>
        <rFont val="Noto Sans CJK SC"/>
        <family val="2"/>
      </rPr>
      <t xml:space="preserve">표</t>
    </r>
    <r>
      <rPr>
        <sz val="11"/>
        <rFont val="Arial"/>
        <family val="0"/>
        <charset val="1"/>
      </rPr>
      <t xml:space="preserve">)</t>
    </r>
  </si>
  <si>
    <r>
      <rPr>
        <sz val="11"/>
        <rFont val="Noto Sans CJK SC"/>
        <family val="2"/>
      </rPr>
      <t xml:space="preserve">  좋아요 한식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일식</t>
    </r>
  </si>
  <si>
    <t xml:space="preserve">  싫어요 중식</t>
  </si>
  <si>
    <t xml:space="preserve">술자리</t>
  </si>
  <si>
    <t xml:space="preserve">  O 5 · △ 3 · X 2</t>
  </si>
  <si>
    <r>
      <rPr>
        <sz val="11"/>
        <rFont val="Noto Sans CJK SC"/>
        <family val="2"/>
      </rPr>
      <t xml:space="preserve">상세 결과 보기</t>
    </r>
    <r>
      <rPr>
        <sz val="11"/>
        <rFont val="Arial"/>
        <family val="0"/>
        <charset val="1"/>
      </rPr>
      <t xml:space="preserve">: https://…/k7m2q9</t>
    </r>
  </si>
  <si>
    <r>
      <rPr>
        <sz val="9"/>
        <color rgb="FF7A6A5F"/>
        <rFont val="Noto Sans CJK SC"/>
        <family val="2"/>
      </rPr>
      <t xml:space="preserve">※ 입력값을 바꾸면 이 시트는 자동으로 바뀌지 않습니다</t>
    </r>
    <r>
      <rPr>
        <sz val="9"/>
        <color rgb="FF7A6A5F"/>
        <rFont val="Arial"/>
        <family val="0"/>
        <charset val="1"/>
      </rPr>
      <t xml:space="preserve">. </t>
    </r>
    <r>
      <rPr>
        <sz val="9"/>
        <color rgb="FF7A6A5F"/>
        <rFont val="Noto Sans CJK SC"/>
        <family val="2"/>
      </rPr>
      <t xml:space="preserve">집계</t>
    </r>
    <r>
      <rPr>
        <sz val="9"/>
        <color rgb="FF7A6A5F"/>
        <rFont val="Arial"/>
        <family val="0"/>
        <charset val="1"/>
      </rPr>
      <t xml:space="preserve">(</t>
    </r>
    <r>
      <rPr>
        <sz val="9"/>
        <color rgb="FF7A6A5F"/>
        <rFont val="Noto Sans CJK SC"/>
        <family val="2"/>
      </rPr>
      <t xml:space="preserve">검증용</t>
    </r>
    <r>
      <rPr>
        <sz val="9"/>
        <color rgb="FF7A6A5F"/>
        <rFont val="Arial"/>
        <family val="0"/>
        <charset val="1"/>
      </rPr>
      <t xml:space="preserve">) </t>
    </r>
    <r>
      <rPr>
        <sz val="9"/>
        <color rgb="FF7A6A5F"/>
        <rFont val="Noto Sans CJK SC"/>
        <family val="2"/>
      </rPr>
      <t xml:space="preserve">시트를 기준으로 다시 확인해 주세요</t>
    </r>
    <r>
      <rPr>
        <sz val="9"/>
        <color rgb="FF7A6A5F"/>
        <rFont val="Arial"/>
        <family val="0"/>
        <charset val="1"/>
      </rPr>
      <t xml:space="preserve">.</t>
    </r>
  </si>
</sst>
</file>

<file path=xl/styles.xml><?xml version="1.0" encoding="utf-8"?>
<styleSheet xmlns="http://schemas.openxmlformats.org/spreadsheetml/2006/main">
  <numFmts count="1">
    <numFmt numFmtId="164" formatCode="General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Noto Sans CJK SC"/>
      <family val="2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sz val="11"/>
      <color rgb="FF0000FF"/>
      <name val="Noto Sans CJK SC"/>
      <family val="2"/>
    </font>
    <font>
      <sz val="11"/>
      <color rgb="FF0000FF"/>
      <name val="Arial"/>
      <family val="0"/>
      <charset val="1"/>
    </font>
    <font>
      <sz val="9"/>
      <color rgb="FF7A6A5F"/>
      <name val="Noto Sans CJK SC"/>
      <family val="2"/>
    </font>
    <font>
      <sz val="9"/>
      <color rgb="FF7A6A5F"/>
      <name val="Arial"/>
      <family val="0"/>
      <charset val="1"/>
    </font>
    <font>
      <sz val="11"/>
      <name val="Noto Sans CJK SC"/>
      <family val="2"/>
    </font>
    <font>
      <b val="true"/>
      <sz val="11"/>
      <name val="Noto Sans CJK SC"/>
      <family val="2"/>
    </font>
    <font>
      <b val="true"/>
      <sz val="1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E7C39"/>
        <bgColor rgb="FFFF66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E6DDD6"/>
      </left>
      <right style="thin">
        <color rgb="FFE6DDD6"/>
      </right>
      <top style="thin">
        <color rgb="FFE6DDD6"/>
      </top>
      <bottom style="thin">
        <color rgb="FFE6DDD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A6A5F"/>
      <rgbColor rgb="FF9999FF"/>
      <rgbColor rgb="FF993366"/>
      <rgbColor rgb="FFFFFFCC"/>
      <rgbColor rgb="FFCCFFFF"/>
      <rgbColor rgb="FF660066"/>
      <rgbColor rgb="FFFE7C39"/>
      <rgbColor rgb="FF0066CC"/>
      <rgbColor rgb="FFE6DDD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4"/>
    <col collapsed="false" customWidth="true" hidden="false" outlineLevel="0" max="3" min="3" style="0" width="9"/>
    <col collapsed="false" customWidth="true" hidden="false" outlineLevel="0" max="4" min="4" style="0" width="30"/>
    <col collapsed="false" customWidth="true" hidden="false" outlineLevel="0" max="5" min="5" style="0" width="44"/>
    <col collapsed="false" customWidth="true" hidden="false" outlineLevel="0" max="7" min="6" style="0" width="22"/>
    <col collapsed="false" customWidth="true" hidden="false" outlineLevel="0" max="8" min="8" style="0" width="18"/>
    <col collapsed="false" customWidth="true" hidden="false" outlineLevel="0" max="9" min="9" style="0" width="9"/>
  </cols>
  <sheetData>
    <row r="1" customFormat="false" ht="17.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Format="false" ht="17.15" hidden="false" customHeight="false" outlineLevel="0" collapsed="false">
      <c r="A2" s="2" t="n">
        <v>1</v>
      </c>
      <c r="B2" s="3" t="s">
        <v>9</v>
      </c>
      <c r="C2" s="3" t="s">
        <v>10</v>
      </c>
      <c r="D2" s="3"/>
      <c r="E2" s="4" t="s">
        <v>11</v>
      </c>
      <c r="F2" s="3" t="s">
        <v>12</v>
      </c>
      <c r="G2" s="3" t="s">
        <v>13</v>
      </c>
      <c r="H2" s="3" t="s">
        <v>14</v>
      </c>
      <c r="I2" s="4" t="s">
        <v>15</v>
      </c>
    </row>
    <row r="3" customFormat="false" ht="17.15" hidden="false" customHeight="false" outlineLevel="0" collapsed="false">
      <c r="A3" s="2" t="n">
        <v>2</v>
      </c>
      <c r="B3" s="3" t="s">
        <v>16</v>
      </c>
      <c r="C3" s="3"/>
      <c r="D3" s="3" t="s">
        <v>17</v>
      </c>
      <c r="E3" s="4" t="s">
        <v>18</v>
      </c>
      <c r="F3" s="3" t="s">
        <v>19</v>
      </c>
      <c r="G3" s="3" t="s">
        <v>20</v>
      </c>
      <c r="H3" s="3" t="s">
        <v>21</v>
      </c>
      <c r="I3" s="4" t="s">
        <v>15</v>
      </c>
    </row>
    <row r="4" customFormat="false" ht="17.15" hidden="false" customHeight="false" outlineLevel="0" collapsed="false">
      <c r="A4" s="2" t="n">
        <v>3</v>
      </c>
      <c r="B4" s="3" t="s">
        <v>22</v>
      </c>
      <c r="C4" s="3"/>
      <c r="D4" s="3" t="s">
        <v>23</v>
      </c>
      <c r="E4" s="4" t="s">
        <v>24</v>
      </c>
      <c r="F4" s="3" t="s">
        <v>25</v>
      </c>
      <c r="G4" s="3" t="s">
        <v>26</v>
      </c>
      <c r="H4" s="3" t="s">
        <v>27</v>
      </c>
      <c r="I4" s="4" t="s">
        <v>28</v>
      </c>
    </row>
    <row r="5" customFormat="false" ht="17.15" hidden="false" customHeight="false" outlineLevel="0" collapsed="false">
      <c r="A5" s="2" t="n">
        <v>4</v>
      </c>
      <c r="B5" s="3" t="s">
        <v>29</v>
      </c>
      <c r="C5" s="3"/>
      <c r="D5" s="3"/>
      <c r="E5" s="4" t="s">
        <v>18</v>
      </c>
      <c r="F5" s="3" t="s">
        <v>30</v>
      </c>
      <c r="G5" s="3" t="s">
        <v>31</v>
      </c>
      <c r="H5" s="3" t="s">
        <v>32</v>
      </c>
      <c r="I5" s="4" t="s">
        <v>15</v>
      </c>
    </row>
    <row r="6" customFormat="false" ht="17.15" hidden="false" customHeight="false" outlineLevel="0" collapsed="false">
      <c r="A6" s="2" t="n">
        <v>5</v>
      </c>
      <c r="B6" s="3" t="s">
        <v>33</v>
      </c>
      <c r="C6" s="3"/>
      <c r="D6" s="3" t="s">
        <v>34</v>
      </c>
      <c r="E6" s="4" t="s">
        <v>24</v>
      </c>
      <c r="F6" s="3" t="s">
        <v>35</v>
      </c>
      <c r="G6" s="3" t="s">
        <v>36</v>
      </c>
      <c r="H6" s="3" t="s">
        <v>14</v>
      </c>
      <c r="I6" s="4" t="s">
        <v>37</v>
      </c>
    </row>
    <row r="7" customFormat="false" ht="32.8" hidden="false" customHeight="false" outlineLevel="0" collapsed="false">
      <c r="A7" s="2" t="n">
        <v>6</v>
      </c>
      <c r="B7" s="3" t="s">
        <v>38</v>
      </c>
      <c r="C7" s="3"/>
      <c r="D7" s="3"/>
      <c r="E7" s="4" t="s">
        <v>39</v>
      </c>
      <c r="F7" s="3" t="s">
        <v>40</v>
      </c>
      <c r="G7" s="3" t="s">
        <v>41</v>
      </c>
      <c r="H7" s="3" t="s">
        <v>42</v>
      </c>
      <c r="I7" s="4" t="s">
        <v>15</v>
      </c>
    </row>
    <row r="8" customFormat="false" ht="32.8" hidden="false" customHeight="false" outlineLevel="0" collapsed="false">
      <c r="A8" s="2" t="n">
        <v>7</v>
      </c>
      <c r="B8" s="3" t="s">
        <v>43</v>
      </c>
      <c r="C8" s="3"/>
      <c r="D8" s="3" t="s">
        <v>44</v>
      </c>
      <c r="E8" s="4" t="s">
        <v>45</v>
      </c>
      <c r="F8" s="3" t="s">
        <v>25</v>
      </c>
      <c r="G8" s="3" t="s">
        <v>46</v>
      </c>
      <c r="H8" s="3" t="s">
        <v>47</v>
      </c>
      <c r="I8" s="4" t="s">
        <v>28</v>
      </c>
    </row>
    <row r="9" customFormat="false" ht="17.15" hidden="false" customHeight="false" outlineLevel="0" collapsed="false">
      <c r="A9" s="2" t="n">
        <v>8</v>
      </c>
      <c r="B9" s="3" t="s">
        <v>48</v>
      </c>
      <c r="C9" s="3"/>
      <c r="D9" s="3"/>
      <c r="E9" s="4" t="s">
        <v>49</v>
      </c>
      <c r="F9" s="3" t="s">
        <v>50</v>
      </c>
      <c r="G9" s="3" t="s">
        <v>51</v>
      </c>
      <c r="H9" s="3" t="s">
        <v>32</v>
      </c>
      <c r="I9" s="4" t="s">
        <v>15</v>
      </c>
    </row>
    <row r="10" customFormat="false" ht="17.15" hidden="false" customHeight="false" outlineLevel="0" collapsed="false">
      <c r="A10" s="2" t="n">
        <v>9</v>
      </c>
      <c r="B10" s="3" t="s">
        <v>52</v>
      </c>
      <c r="C10" s="3"/>
      <c r="D10" s="3" t="s">
        <v>53</v>
      </c>
      <c r="E10" s="4" t="s">
        <v>45</v>
      </c>
      <c r="F10" s="3" t="s">
        <v>54</v>
      </c>
      <c r="G10" s="3" t="s">
        <v>55</v>
      </c>
      <c r="H10" s="3" t="s">
        <v>27</v>
      </c>
      <c r="I10" s="4" t="s">
        <v>28</v>
      </c>
    </row>
    <row r="11" customFormat="false" ht="17.15" hidden="false" customHeight="false" outlineLevel="0" collapsed="false">
      <c r="A11" s="2" t="n">
        <v>10</v>
      </c>
      <c r="B11" s="3" t="s">
        <v>56</v>
      </c>
      <c r="C11" s="3"/>
      <c r="D11" s="3" t="s">
        <v>57</v>
      </c>
      <c r="E11" s="4" t="s">
        <v>58</v>
      </c>
      <c r="F11" s="3" t="s">
        <v>59</v>
      </c>
      <c r="G11" s="3" t="s">
        <v>60</v>
      </c>
      <c r="H11" s="3" t="s">
        <v>42</v>
      </c>
      <c r="I11" s="4" t="s">
        <v>37</v>
      </c>
    </row>
    <row r="13" customFormat="false" ht="15" hidden="false" customHeight="false" outlineLevel="0" collapsed="false">
      <c r="A13" s="5" t="s">
        <v>61</v>
      </c>
    </row>
    <row r="14" customFormat="false" ht="15" hidden="false" customHeight="false" outlineLevel="0" collapsed="false">
      <c r="A14" s="5" t="s">
        <v>62</v>
      </c>
    </row>
    <row r="15" customFormat="false" ht="15" hidden="false" customHeight="false" outlineLevel="0" collapsed="false">
      <c r="A15" s="5" t="s">
        <v>63</v>
      </c>
    </row>
    <row r="16" customFormat="false" ht="15" hidden="false" customHeight="false" outlineLevel="0" collapsed="false">
      <c r="A16" s="5" t="s">
        <v>64</v>
      </c>
    </row>
    <row r="17" customFormat="false" ht="15" hidden="false" customHeight="false" outlineLevel="0" collapsed="false">
      <c r="A17" s="5" t="s">
        <v>65</v>
      </c>
    </row>
    <row r="18" customFormat="false" ht="15" hidden="false" customHeight="false" outlineLevel="0" collapsed="false">
      <c r="A18" s="5" t="s">
        <v>66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5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8"/>
    <col collapsed="false" customWidth="true" hidden="false" outlineLevel="0" max="3" min="3" style="0" width="40"/>
  </cols>
  <sheetData>
    <row r="1" customFormat="false" ht="17.15" hidden="false" customHeight="false" outlineLevel="0" collapsed="false">
      <c r="A1" s="1" t="s">
        <v>67</v>
      </c>
      <c r="B1" s="1" t="s">
        <v>68</v>
      </c>
      <c r="C1" s="1" t="s">
        <v>69</v>
      </c>
    </row>
    <row r="2" customFormat="false" ht="15" hidden="false" customHeight="false" outlineLevel="0" collapsed="false">
      <c r="A2" s="6" t="s">
        <v>70</v>
      </c>
      <c r="B2" s="6" t="s">
        <v>71</v>
      </c>
      <c r="C2" s="6"/>
    </row>
    <row r="3" customFormat="false" ht="15" hidden="false" customHeight="false" outlineLevel="0" collapsed="false">
      <c r="A3" s="6" t="s">
        <v>70</v>
      </c>
      <c r="B3" s="6" t="s">
        <v>72</v>
      </c>
      <c r="C3" s="6"/>
    </row>
    <row r="4" customFormat="false" ht="15" hidden="false" customHeight="false" outlineLevel="0" collapsed="false">
      <c r="A4" s="6" t="s">
        <v>70</v>
      </c>
      <c r="B4" s="6" t="s">
        <v>73</v>
      </c>
      <c r="C4" s="6"/>
    </row>
    <row r="5" customFormat="false" ht="15" hidden="false" customHeight="false" outlineLevel="0" collapsed="false">
      <c r="A5" s="6" t="s">
        <v>70</v>
      </c>
      <c r="B5" s="6" t="s">
        <v>74</v>
      </c>
      <c r="C5" s="6"/>
    </row>
    <row r="6" customFormat="false" ht="15" hidden="false" customHeight="false" outlineLevel="0" collapsed="false">
      <c r="A6" s="6" t="s">
        <v>70</v>
      </c>
      <c r="B6" s="6" t="s">
        <v>75</v>
      </c>
      <c r="C6" s="6"/>
    </row>
    <row r="7" customFormat="false" ht="15" hidden="false" customHeight="false" outlineLevel="0" collapsed="false">
      <c r="A7" s="6" t="s">
        <v>70</v>
      </c>
      <c r="B7" s="6" t="s">
        <v>76</v>
      </c>
      <c r="C7" s="6"/>
    </row>
    <row r="8" customFormat="false" ht="15" hidden="false" customHeight="false" outlineLevel="0" collapsed="false">
      <c r="A8" s="6" t="s">
        <v>70</v>
      </c>
      <c r="B8" s="6" t="s">
        <v>77</v>
      </c>
      <c r="C8" s="6"/>
    </row>
    <row r="9" customFormat="false" ht="15" hidden="false" customHeight="false" outlineLevel="0" collapsed="false">
      <c r="A9" s="6" t="s">
        <v>70</v>
      </c>
      <c r="B9" s="6" t="s">
        <v>78</v>
      </c>
      <c r="C9" s="6"/>
    </row>
    <row r="10" customFormat="false" ht="15" hidden="false" customHeight="false" outlineLevel="0" collapsed="false">
      <c r="A10" s="6" t="s">
        <v>70</v>
      </c>
      <c r="B10" s="6" t="s">
        <v>79</v>
      </c>
      <c r="C10" s="6"/>
    </row>
    <row r="11" customFormat="false" ht="15" hidden="false" customHeight="false" outlineLevel="0" collapsed="false">
      <c r="A11" s="6" t="s">
        <v>80</v>
      </c>
      <c r="B11" s="6" t="s">
        <v>81</v>
      </c>
      <c r="C11" s="6"/>
    </row>
    <row r="12" customFormat="false" ht="15" hidden="false" customHeight="false" outlineLevel="0" collapsed="false">
      <c r="A12" s="6" t="s">
        <v>80</v>
      </c>
      <c r="B12" s="6" t="s">
        <v>14</v>
      </c>
      <c r="C12" s="6"/>
    </row>
    <row r="13" customFormat="false" ht="15" hidden="false" customHeight="false" outlineLevel="0" collapsed="false">
      <c r="A13" s="6" t="s">
        <v>80</v>
      </c>
      <c r="B13" s="6" t="s">
        <v>82</v>
      </c>
      <c r="C13" s="6"/>
    </row>
    <row r="14" customFormat="false" ht="15" hidden="false" customHeight="false" outlineLevel="0" collapsed="false">
      <c r="A14" s="6" t="s">
        <v>80</v>
      </c>
      <c r="B14" s="6" t="s">
        <v>83</v>
      </c>
      <c r="C14" s="6"/>
    </row>
    <row r="15" customFormat="false" ht="15" hidden="false" customHeight="false" outlineLevel="0" collapsed="false">
      <c r="A15" s="6" t="s">
        <v>80</v>
      </c>
      <c r="B15" s="6" t="s">
        <v>42</v>
      </c>
      <c r="C15" s="6"/>
    </row>
    <row r="16" customFormat="false" ht="15" hidden="false" customHeight="false" outlineLevel="0" collapsed="false">
      <c r="A16" s="6" t="s">
        <v>80</v>
      </c>
      <c r="B16" s="6" t="s">
        <v>21</v>
      </c>
      <c r="C16" s="6"/>
    </row>
    <row r="17" customFormat="false" ht="15" hidden="false" customHeight="false" outlineLevel="0" collapsed="false">
      <c r="A17" s="6" t="s">
        <v>80</v>
      </c>
      <c r="B17" s="6" t="s">
        <v>32</v>
      </c>
      <c r="C17" s="6"/>
    </row>
    <row r="18" customFormat="false" ht="15" hidden="false" customHeight="false" outlineLevel="0" collapsed="false">
      <c r="A18" s="6" t="s">
        <v>84</v>
      </c>
      <c r="B18" s="6" t="s">
        <v>85</v>
      </c>
      <c r="C18" s="6"/>
    </row>
    <row r="19" customFormat="false" ht="15" hidden="false" customHeight="false" outlineLevel="0" collapsed="false">
      <c r="A19" s="6" t="s">
        <v>84</v>
      </c>
      <c r="B19" s="6" t="s">
        <v>86</v>
      </c>
      <c r="C19" s="6"/>
    </row>
    <row r="20" customFormat="false" ht="17.15" hidden="false" customHeight="false" outlineLevel="0" collapsed="false">
      <c r="A20" s="6" t="s">
        <v>87</v>
      </c>
      <c r="B20" s="7" t="s">
        <v>15</v>
      </c>
      <c r="C20" s="6" t="s">
        <v>88</v>
      </c>
    </row>
    <row r="21" customFormat="false" ht="15" hidden="false" customHeight="false" outlineLevel="0" collapsed="false">
      <c r="A21" s="6" t="s">
        <v>87</v>
      </c>
      <c r="B21" s="7" t="s">
        <v>28</v>
      </c>
      <c r="C21" s="6" t="s">
        <v>89</v>
      </c>
    </row>
    <row r="22" customFormat="false" ht="17.15" hidden="false" customHeight="false" outlineLevel="0" collapsed="false">
      <c r="A22" s="6" t="s">
        <v>87</v>
      </c>
      <c r="B22" s="7" t="s">
        <v>37</v>
      </c>
      <c r="C22" s="6" t="s">
        <v>90</v>
      </c>
    </row>
    <row r="24" customFormat="false" ht="17.15" hidden="false" customHeight="false" outlineLevel="0" collapsed="false">
      <c r="A24" s="8" t="s">
        <v>91</v>
      </c>
    </row>
    <row r="25" customFormat="false" ht="17.15" hidden="false" customHeight="false" outlineLevel="0" collapsed="false">
      <c r="A25" s="1" t="s">
        <v>92</v>
      </c>
      <c r="B25" s="1" t="s">
        <v>93</v>
      </c>
      <c r="C25" s="1" t="s">
        <v>94</v>
      </c>
    </row>
    <row r="26" customFormat="false" ht="15" hidden="false" customHeight="false" outlineLevel="0" collapsed="false">
      <c r="A26" s="6" t="s">
        <v>81</v>
      </c>
      <c r="B26" s="6" t="s">
        <v>95</v>
      </c>
      <c r="C26" s="7"/>
    </row>
    <row r="27" customFormat="false" ht="15" hidden="false" customHeight="false" outlineLevel="0" collapsed="false">
      <c r="A27" s="6" t="s">
        <v>81</v>
      </c>
      <c r="B27" s="6" t="s">
        <v>96</v>
      </c>
      <c r="C27" s="6" t="s">
        <v>97</v>
      </c>
    </row>
    <row r="28" customFormat="false" ht="17.15" hidden="false" customHeight="false" outlineLevel="0" collapsed="false">
      <c r="A28" s="6" t="s">
        <v>81</v>
      </c>
      <c r="B28" s="6" t="s">
        <v>98</v>
      </c>
      <c r="C28" s="6" t="s">
        <v>99</v>
      </c>
    </row>
    <row r="29" customFormat="false" ht="15" hidden="false" customHeight="false" outlineLevel="0" collapsed="false">
      <c r="A29" s="6" t="s">
        <v>81</v>
      </c>
      <c r="B29" s="6" t="s">
        <v>100</v>
      </c>
      <c r="C29" s="6" t="s">
        <v>101</v>
      </c>
    </row>
    <row r="30" customFormat="false" ht="17.15" hidden="false" customHeight="false" outlineLevel="0" collapsed="false">
      <c r="A30" s="6" t="s">
        <v>81</v>
      </c>
      <c r="B30" s="6" t="s">
        <v>102</v>
      </c>
      <c r="C30" s="6" t="s">
        <v>103</v>
      </c>
    </row>
    <row r="31" customFormat="false" ht="15" hidden="false" customHeight="false" outlineLevel="0" collapsed="false">
      <c r="A31" s="6" t="s">
        <v>14</v>
      </c>
      <c r="B31" s="6" t="s">
        <v>104</v>
      </c>
      <c r="C31" s="6" t="s">
        <v>105</v>
      </c>
    </row>
    <row r="32" customFormat="false" ht="17.15" hidden="false" customHeight="false" outlineLevel="0" collapsed="false">
      <c r="A32" s="6" t="s">
        <v>14</v>
      </c>
      <c r="B32" s="6" t="s">
        <v>106</v>
      </c>
      <c r="C32" s="6" t="s">
        <v>107</v>
      </c>
    </row>
    <row r="33" customFormat="false" ht="17.15" hidden="false" customHeight="false" outlineLevel="0" collapsed="false">
      <c r="A33" s="6" t="s">
        <v>14</v>
      </c>
      <c r="B33" s="6" t="s">
        <v>108</v>
      </c>
      <c r="C33" s="6" t="s">
        <v>109</v>
      </c>
    </row>
    <row r="34" customFormat="false" ht="17.15" hidden="false" customHeight="false" outlineLevel="0" collapsed="false">
      <c r="A34" s="6" t="s">
        <v>14</v>
      </c>
      <c r="B34" s="6" t="s">
        <v>110</v>
      </c>
      <c r="C34" s="6" t="s">
        <v>111</v>
      </c>
    </row>
    <row r="35" customFormat="false" ht="15" hidden="false" customHeight="false" outlineLevel="0" collapsed="false">
      <c r="A35" s="6" t="s">
        <v>82</v>
      </c>
      <c r="B35" s="6" t="s">
        <v>112</v>
      </c>
      <c r="C35" s="7"/>
    </row>
    <row r="36" customFormat="false" ht="17.15" hidden="false" customHeight="false" outlineLevel="0" collapsed="false">
      <c r="A36" s="6" t="s">
        <v>82</v>
      </c>
      <c r="B36" s="6" t="s">
        <v>113</v>
      </c>
      <c r="C36" s="6" t="s">
        <v>114</v>
      </c>
    </row>
    <row r="37" customFormat="false" ht="15" hidden="false" customHeight="false" outlineLevel="0" collapsed="false">
      <c r="A37" s="6" t="s">
        <v>82</v>
      </c>
      <c r="B37" s="6" t="s">
        <v>115</v>
      </c>
      <c r="C37" s="6" t="s">
        <v>116</v>
      </c>
    </row>
    <row r="38" customFormat="false" ht="17.15" hidden="false" customHeight="false" outlineLevel="0" collapsed="false">
      <c r="A38" s="6" t="s">
        <v>82</v>
      </c>
      <c r="B38" s="6" t="s">
        <v>117</v>
      </c>
      <c r="C38" s="6" t="s">
        <v>114</v>
      </c>
    </row>
    <row r="39" customFormat="false" ht="15" hidden="false" customHeight="false" outlineLevel="0" collapsed="false">
      <c r="A39" s="6" t="s">
        <v>83</v>
      </c>
      <c r="B39" s="6" t="s">
        <v>118</v>
      </c>
      <c r="C39" s="7"/>
    </row>
    <row r="40" customFormat="false" ht="17.15" hidden="false" customHeight="false" outlineLevel="0" collapsed="false">
      <c r="A40" s="6" t="s">
        <v>83</v>
      </c>
      <c r="B40" s="6" t="s">
        <v>119</v>
      </c>
      <c r="C40" s="6" t="s">
        <v>120</v>
      </c>
    </row>
    <row r="41" customFormat="false" ht="17.15" hidden="false" customHeight="false" outlineLevel="0" collapsed="false">
      <c r="A41" s="6" t="s">
        <v>83</v>
      </c>
      <c r="B41" s="6" t="s">
        <v>121</v>
      </c>
      <c r="C41" s="6" t="s">
        <v>109</v>
      </c>
    </row>
    <row r="42" customFormat="false" ht="17.15" hidden="false" customHeight="false" outlineLevel="0" collapsed="false">
      <c r="A42" s="6" t="s">
        <v>83</v>
      </c>
      <c r="B42" s="6" t="s">
        <v>122</v>
      </c>
      <c r="C42" s="6" t="s">
        <v>109</v>
      </c>
    </row>
    <row r="43" customFormat="false" ht="15" hidden="false" customHeight="false" outlineLevel="0" collapsed="false">
      <c r="A43" s="6" t="s">
        <v>42</v>
      </c>
      <c r="B43" s="6" t="s">
        <v>123</v>
      </c>
      <c r="C43" s="7"/>
    </row>
    <row r="44" customFormat="false" ht="15" hidden="false" customHeight="false" outlineLevel="0" collapsed="false">
      <c r="A44" s="6" t="s">
        <v>42</v>
      </c>
      <c r="B44" s="6" t="s">
        <v>124</v>
      </c>
      <c r="C44" s="6" t="s">
        <v>125</v>
      </c>
    </row>
    <row r="45" customFormat="false" ht="17.15" hidden="false" customHeight="false" outlineLevel="0" collapsed="false">
      <c r="A45" s="6" t="s">
        <v>42</v>
      </c>
      <c r="B45" s="6" t="s">
        <v>126</v>
      </c>
      <c r="C45" s="6" t="s">
        <v>127</v>
      </c>
    </row>
    <row r="46" customFormat="false" ht="17.15" hidden="false" customHeight="false" outlineLevel="0" collapsed="false">
      <c r="A46" s="6" t="s">
        <v>42</v>
      </c>
      <c r="B46" s="6" t="s">
        <v>128</v>
      </c>
      <c r="C46" s="6" t="s">
        <v>129</v>
      </c>
    </row>
    <row r="47" customFormat="false" ht="15" hidden="false" customHeight="false" outlineLevel="0" collapsed="false">
      <c r="A47" s="6" t="s">
        <v>21</v>
      </c>
      <c r="B47" s="6" t="s">
        <v>130</v>
      </c>
      <c r="C47" s="6" t="s">
        <v>105</v>
      </c>
    </row>
    <row r="48" customFormat="false" ht="17.15" hidden="false" customHeight="false" outlineLevel="0" collapsed="false">
      <c r="A48" s="6" t="s">
        <v>21</v>
      </c>
      <c r="B48" s="6" t="s">
        <v>131</v>
      </c>
      <c r="C48" s="6" t="s">
        <v>114</v>
      </c>
    </row>
    <row r="49" customFormat="false" ht="17.15" hidden="false" customHeight="false" outlineLevel="0" collapsed="false">
      <c r="A49" s="6" t="s">
        <v>21</v>
      </c>
      <c r="B49" s="6" t="s">
        <v>132</v>
      </c>
      <c r="C49" s="6" t="s">
        <v>114</v>
      </c>
    </row>
    <row r="50" customFormat="false" ht="15" hidden="false" customHeight="false" outlineLevel="0" collapsed="false">
      <c r="A50" s="6" t="s">
        <v>21</v>
      </c>
      <c r="B50" s="6" t="s">
        <v>133</v>
      </c>
      <c r="C50" s="6" t="s">
        <v>116</v>
      </c>
    </row>
    <row r="51" customFormat="false" ht="15" hidden="false" customHeight="false" outlineLevel="0" collapsed="false">
      <c r="A51" s="6" t="s">
        <v>32</v>
      </c>
      <c r="B51" s="6" t="s">
        <v>134</v>
      </c>
      <c r="C51" s="7"/>
    </row>
    <row r="52" customFormat="false" ht="15" hidden="false" customHeight="false" outlineLevel="0" collapsed="false">
      <c r="A52" s="6" t="s">
        <v>32</v>
      </c>
      <c r="B52" s="6" t="s">
        <v>135</v>
      </c>
      <c r="C52" s="7"/>
    </row>
    <row r="53" customFormat="false" ht="15" hidden="false" customHeight="false" outlineLevel="0" collapsed="false">
      <c r="A53" s="6" t="s">
        <v>32</v>
      </c>
      <c r="B53" s="6" t="s">
        <v>136</v>
      </c>
      <c r="C53" s="6" t="s">
        <v>116</v>
      </c>
    </row>
    <row r="54" customFormat="false" ht="17.15" hidden="false" customHeight="false" outlineLevel="0" collapsed="false">
      <c r="A54" s="6" t="s">
        <v>32</v>
      </c>
      <c r="B54" s="6" t="s">
        <v>137</v>
      </c>
      <c r="C54" s="6" t="s">
        <v>138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9"/>
    <col collapsed="false" customWidth="true" hidden="false" outlineLevel="0" max="3" min="3" style="0" width="8"/>
    <col collapsed="false" customWidth="true" hidden="false" outlineLevel="0" max="4" min="4" style="0" width="12"/>
    <col collapsed="false" customWidth="true" hidden="false" outlineLevel="0" max="5" min="5" style="0" width="11"/>
  </cols>
  <sheetData>
    <row r="1" customFormat="false" ht="15" hidden="false" customHeight="false" outlineLevel="0" collapsed="false">
      <c r="A1" s="8" t="s">
        <v>139</v>
      </c>
      <c r="B1" s="8" t="n">
        <f aca="false">COUNTA(input_data!B2:B11)</f>
        <v>10</v>
      </c>
      <c r="D1" s="5" t="s">
        <v>140</v>
      </c>
    </row>
    <row r="3" customFormat="false" ht="17.15" hidden="false" customHeight="false" outlineLevel="0" collapsed="false">
      <c r="A3" s="1" t="s">
        <v>141</v>
      </c>
      <c r="B3" s="1" t="s">
        <v>142</v>
      </c>
      <c r="C3" s="1" t="s">
        <v>143</v>
      </c>
      <c r="D3" s="1" t="s">
        <v>144</v>
      </c>
      <c r="E3" s="1" t="s">
        <v>145</v>
      </c>
    </row>
    <row r="4" customFormat="false" ht="17.15" hidden="false" customHeight="false" outlineLevel="0" collapsed="false">
      <c r="A4" s="7" t="s">
        <v>146</v>
      </c>
      <c r="B4" s="7" t="n">
        <f aca="false">COUNTIF(input_data!$E$2:$E$11,"*"&amp;A4&amp;"*")</f>
        <v>7</v>
      </c>
      <c r="C4" s="7" t="n">
        <f aca="false">IF(B4=0,"-",RANK(B4,$B$4:$B$9))</f>
        <v>2</v>
      </c>
      <c r="D4" s="7" t="str">
        <f aca="false">IF(B4=0,"",IF(C4&gt;3,"",IF(COUNTIF($B$4:$B$9,B4)&gt;1,"공동 ","")&amp;C4&amp;"위"))</f>
        <v>2위</v>
      </c>
      <c r="E4" s="7" t="str">
        <f aca="false">IF(B4=$B$1,"만장일치","")</f>
        <v/>
      </c>
    </row>
    <row r="5" customFormat="false" ht="17.15" hidden="false" customHeight="false" outlineLevel="0" collapsed="false">
      <c r="A5" s="7" t="s">
        <v>147</v>
      </c>
      <c r="B5" s="7" t="n">
        <f aca="false">COUNTIF(input_data!$E$2:$E$11,"*"&amp;A5&amp;"*")</f>
        <v>4</v>
      </c>
      <c r="C5" s="7" t="n">
        <f aca="false">IF(B5=0,"-",RANK(B5,$B$4:$B$9))</f>
        <v>3</v>
      </c>
      <c r="D5" s="7" t="str">
        <f aca="false">IF(B5=0,"",IF(C5&gt;3,"",IF(COUNTIF($B$4:$B$9,B5)&gt;1,"공동 ","")&amp;C5&amp;"위"))</f>
        <v>공동 3위</v>
      </c>
      <c r="E5" s="7" t="str">
        <f aca="false">IF(B5=$B$1,"만장일치","")</f>
        <v/>
      </c>
    </row>
    <row r="6" customFormat="false" ht="17.15" hidden="false" customHeight="false" outlineLevel="0" collapsed="false">
      <c r="A6" s="7" t="s">
        <v>148</v>
      </c>
      <c r="B6" s="7" t="n">
        <f aca="false">COUNTIF(input_data!$E$2:$E$11,"*"&amp;A6&amp;"*")</f>
        <v>10</v>
      </c>
      <c r="C6" s="7" t="n">
        <f aca="false">IF(B6=0,"-",RANK(B6,$B$4:$B$9))</f>
        <v>1</v>
      </c>
      <c r="D6" s="7" t="str">
        <f aca="false">IF(B6=0,"",IF(C6&gt;3,"",IF(COUNTIF($B$4:$B$9,B6)&gt;1,"공동 ","")&amp;C6&amp;"위"))</f>
        <v>1위</v>
      </c>
      <c r="E6" s="7" t="str">
        <f aca="false">IF(B6=$B$1,"만장일치","")</f>
        <v>만장일치</v>
      </c>
    </row>
    <row r="7" customFormat="false" ht="17.15" hidden="false" customHeight="false" outlineLevel="0" collapsed="false">
      <c r="A7" s="7" t="s">
        <v>149</v>
      </c>
      <c r="B7" s="7" t="n">
        <f aca="false">COUNTIF(input_data!$E$2:$E$11,"*"&amp;A7&amp;"*")</f>
        <v>1</v>
      </c>
      <c r="C7" s="7" t="n">
        <f aca="false">IF(B7=0,"-",RANK(B7,$B$4:$B$9))</f>
        <v>5</v>
      </c>
      <c r="D7" s="7" t="str">
        <f aca="false">IF(B7=0,"",IF(C7&gt;3,"",IF(COUNTIF($B$4:$B$9,B7)&gt;1,"공동 ","")&amp;C7&amp;"위"))</f>
        <v/>
      </c>
      <c r="E7" s="7" t="str">
        <f aca="false">IF(B7=$B$1,"만장일치","")</f>
        <v/>
      </c>
    </row>
    <row r="8" customFormat="false" ht="17.15" hidden="false" customHeight="false" outlineLevel="0" collapsed="false">
      <c r="A8" s="7" t="s">
        <v>150</v>
      </c>
      <c r="B8" s="7" t="n">
        <f aca="false">COUNTIF(input_data!$E$2:$E$11,"*"&amp;A8&amp;"*")</f>
        <v>4</v>
      </c>
      <c r="C8" s="7" t="n">
        <f aca="false">IF(B8=0,"-",RANK(B8,$B$4:$B$9))</f>
        <v>3</v>
      </c>
      <c r="D8" s="7" t="str">
        <f aca="false">IF(B8=0,"",IF(C8&gt;3,"",IF(COUNTIF($B$4:$B$9,B8)&gt;1,"공동 ","")&amp;C8&amp;"위"))</f>
        <v>공동 3위</v>
      </c>
      <c r="E8" s="7" t="str">
        <f aca="false">IF(B8=$B$1,"만장일치","")</f>
        <v/>
      </c>
    </row>
    <row r="9" customFormat="false" ht="17.15" hidden="false" customHeight="false" outlineLevel="0" collapsed="false">
      <c r="A9" s="7" t="s">
        <v>151</v>
      </c>
      <c r="B9" s="7" t="n">
        <f aca="false">COUNTIF(input_data!$E$2:$E$11,"*"&amp;A9&amp;"*")</f>
        <v>1</v>
      </c>
      <c r="C9" s="7" t="n">
        <f aca="false">IF(B9=0,"-",RANK(B9,$B$4:$B$9))</f>
        <v>5</v>
      </c>
      <c r="D9" s="7" t="str">
        <f aca="false">IF(B9=0,"",IF(C9&gt;3,"",IF(COUNTIF($B$4:$B$9,B9)&gt;1,"공동 ","")&amp;C9&amp;"위"))</f>
        <v/>
      </c>
      <c r="E9" s="7" t="str">
        <f aca="false">IF(B9=$B$1,"만장일치","")</f>
        <v/>
      </c>
    </row>
    <row r="11" customFormat="false" ht="17.15" hidden="false" customHeight="false" outlineLevel="0" collapsed="false">
      <c r="A11" s="1" t="s">
        <v>5</v>
      </c>
      <c r="B11" s="1" t="s">
        <v>142</v>
      </c>
      <c r="C11" s="1" t="s">
        <v>143</v>
      </c>
      <c r="D11" s="1" t="s">
        <v>144</v>
      </c>
    </row>
    <row r="12" customFormat="false" ht="17.15" hidden="false" customHeight="false" outlineLevel="0" collapsed="false">
      <c r="A12" s="6" t="s">
        <v>71</v>
      </c>
      <c r="B12" s="7" t="n">
        <f aca="false">COUNTIF(input_data!$F$2:$F$11,"*"&amp;A12&amp;"*")</f>
        <v>7</v>
      </c>
      <c r="C12" s="7" t="n">
        <f aca="false">IF(B12=0,"-",RANK(B12,$B$12:$B$20))</f>
        <v>1</v>
      </c>
      <c r="D12" s="7" t="str">
        <f aca="false">IF(B12=0,"",IF(C12&gt;3,"",IF(COUNTIF($B$12:$B$20,B12)&gt;1,"공동 ","")&amp;C12&amp;"위"))</f>
        <v>1위</v>
      </c>
    </row>
    <row r="13" customFormat="false" ht="15" hidden="false" customHeight="false" outlineLevel="0" collapsed="false">
      <c r="A13" s="6" t="s">
        <v>72</v>
      </c>
      <c r="B13" s="7" t="n">
        <f aca="false">COUNTIF(input_data!$F$2:$F$11,"*"&amp;A13&amp;"*")</f>
        <v>0</v>
      </c>
      <c r="C13" s="7" t="str">
        <f aca="false">IF(B13=0,"-",RANK(B13,$B$12:$B$20))</f>
        <v>-</v>
      </c>
      <c r="D13" s="7" t="str">
        <f aca="false">IF(B13=0,"",IF(C13&gt;3,"",IF(COUNTIF($B$12:$B$20,B13)&gt;1,"공동 ","")&amp;C13&amp;"위"))</f>
        <v/>
      </c>
    </row>
    <row r="14" customFormat="false" ht="17.15" hidden="false" customHeight="false" outlineLevel="0" collapsed="false">
      <c r="A14" s="6" t="s">
        <v>73</v>
      </c>
      <c r="B14" s="7" t="n">
        <f aca="false">COUNTIF(input_data!$F$2:$F$11,"*"&amp;A14&amp;"*")</f>
        <v>3</v>
      </c>
      <c r="C14" s="7" t="n">
        <f aca="false">IF(B14=0,"-",RANK(B14,$B$12:$B$20))</f>
        <v>3</v>
      </c>
      <c r="D14" s="7" t="str">
        <f aca="false">IF(B14=0,"",IF(C14&gt;3,"",IF(COUNTIF($B$12:$B$20,B14)&gt;1,"공동 ","")&amp;C14&amp;"위"))</f>
        <v>공동 3위</v>
      </c>
    </row>
    <row r="15" customFormat="false" ht="17.15" hidden="false" customHeight="false" outlineLevel="0" collapsed="false">
      <c r="A15" s="6" t="s">
        <v>74</v>
      </c>
      <c r="B15" s="7" t="n">
        <f aca="false">COUNTIF(input_data!$F$2:$F$11,"*"&amp;A15&amp;"*")</f>
        <v>6</v>
      </c>
      <c r="C15" s="7" t="n">
        <f aca="false">IF(B15=0,"-",RANK(B15,$B$12:$B$20))</f>
        <v>2</v>
      </c>
      <c r="D15" s="7" t="str">
        <f aca="false">IF(B15=0,"",IF(C15&gt;3,"",IF(COUNTIF($B$12:$B$20,B15)&gt;1,"공동 ","")&amp;C15&amp;"위"))</f>
        <v>2위</v>
      </c>
    </row>
    <row r="16" customFormat="false" ht="17.15" hidden="false" customHeight="false" outlineLevel="0" collapsed="false">
      <c r="A16" s="6" t="s">
        <v>75</v>
      </c>
      <c r="B16" s="7" t="n">
        <f aca="false">COUNTIF(input_data!$F$2:$F$11,"*"&amp;A16&amp;"*")</f>
        <v>3</v>
      </c>
      <c r="C16" s="7" t="n">
        <f aca="false">IF(B16=0,"-",RANK(B16,$B$12:$B$20))</f>
        <v>3</v>
      </c>
      <c r="D16" s="7" t="str">
        <f aca="false">IF(B16=0,"",IF(C16&gt;3,"",IF(COUNTIF($B$12:$B$20,B16)&gt;1,"공동 ","")&amp;C16&amp;"위"))</f>
        <v>공동 3위</v>
      </c>
    </row>
    <row r="17" customFormat="false" ht="15" hidden="false" customHeight="false" outlineLevel="0" collapsed="false">
      <c r="A17" s="6" t="s">
        <v>76</v>
      </c>
      <c r="B17" s="7" t="n">
        <f aca="false">COUNTIF(input_data!$F$2:$F$11,"*"&amp;A17&amp;"*")</f>
        <v>1</v>
      </c>
      <c r="C17" s="7" t="n">
        <f aca="false">IF(B17=0,"-",RANK(B17,$B$12:$B$20))</f>
        <v>5</v>
      </c>
      <c r="D17" s="7" t="str">
        <f aca="false">IF(B17=0,"",IF(C17&gt;3,"",IF(COUNTIF($B$12:$B$20,B17)&gt;1,"공동 ","")&amp;C17&amp;"위"))</f>
        <v/>
      </c>
    </row>
    <row r="18" customFormat="false" ht="15" hidden="false" customHeight="false" outlineLevel="0" collapsed="false">
      <c r="A18" s="6" t="s">
        <v>77</v>
      </c>
      <c r="B18" s="7" t="n">
        <f aca="false">COUNTIF(input_data!$F$2:$F$11,"*"&amp;A18&amp;"*")</f>
        <v>1</v>
      </c>
      <c r="C18" s="7" t="n">
        <f aca="false">IF(B18=0,"-",RANK(B18,$B$12:$B$20))</f>
        <v>5</v>
      </c>
      <c r="D18" s="7" t="str">
        <f aca="false">IF(B18=0,"",IF(C18&gt;3,"",IF(COUNTIF($B$12:$B$20,B18)&gt;1,"공동 ","")&amp;C18&amp;"위"))</f>
        <v/>
      </c>
    </row>
    <row r="19" customFormat="false" ht="15" hidden="false" customHeight="false" outlineLevel="0" collapsed="false">
      <c r="A19" s="6" t="s">
        <v>78</v>
      </c>
      <c r="B19" s="7" t="n">
        <f aca="false">COUNTIF(input_data!$F$2:$F$11,"*"&amp;A19&amp;"*")</f>
        <v>1</v>
      </c>
      <c r="C19" s="7" t="n">
        <f aca="false">IF(B19=0,"-",RANK(B19,$B$12:$B$20))</f>
        <v>5</v>
      </c>
      <c r="D19" s="7" t="str">
        <f aca="false">IF(B19=0,"",IF(C19&gt;3,"",IF(COUNTIF($B$12:$B$20,B19)&gt;1,"공동 ","")&amp;C19&amp;"위"))</f>
        <v/>
      </c>
    </row>
    <row r="20" customFormat="false" ht="15" hidden="false" customHeight="false" outlineLevel="0" collapsed="false">
      <c r="A20" s="6" t="s">
        <v>79</v>
      </c>
      <c r="B20" s="7" t="n">
        <f aca="false">COUNTIF(input_data!$F$2:$F$11,"*"&amp;A20&amp;"*")</f>
        <v>1</v>
      </c>
      <c r="C20" s="7" t="n">
        <f aca="false">IF(B20=0,"-",RANK(B20,$B$12:$B$20))</f>
        <v>5</v>
      </c>
      <c r="D20" s="7" t="str">
        <f aca="false">IF(B20=0,"",IF(C20&gt;3,"",IF(COUNTIF($B$12:$B$20,B20)&gt;1,"공동 ","")&amp;C20&amp;"위"))</f>
        <v/>
      </c>
    </row>
    <row r="22" customFormat="false" ht="17.15" hidden="false" customHeight="false" outlineLevel="0" collapsed="false">
      <c r="A22" s="1" t="s">
        <v>152</v>
      </c>
      <c r="B22" s="1" t="s">
        <v>142</v>
      </c>
      <c r="C22" s="1" t="s">
        <v>143</v>
      </c>
      <c r="D22" s="1" t="s">
        <v>144</v>
      </c>
    </row>
    <row r="23" customFormat="false" ht="17.15" hidden="false" customHeight="false" outlineLevel="0" collapsed="false">
      <c r="A23" s="6" t="s">
        <v>81</v>
      </c>
      <c r="B23" s="7" t="n">
        <f aca="false">COUNTIF(input_data!$G$2:$G$11,"*"&amp;A23&amp;"*")</f>
        <v>8</v>
      </c>
      <c r="C23" s="7" t="n">
        <f aca="false">IF(B23=0,"-",RANK(B23,$B$23:$B$29))</f>
        <v>1</v>
      </c>
      <c r="D23" s="7" t="str">
        <f aca="false">IF(B23=0,"",IF(C23&gt;3,"",IF(COUNTIF($B$23:$B$29,B23)&gt;1,"공동 ","")&amp;C23&amp;"위"))</f>
        <v>1위</v>
      </c>
    </row>
    <row r="24" customFormat="false" ht="15" hidden="false" customHeight="false" outlineLevel="0" collapsed="false">
      <c r="A24" s="6" t="s">
        <v>14</v>
      </c>
      <c r="B24" s="7" t="n">
        <f aca="false">COUNTIF(input_data!$G$2:$G$11,"*"&amp;A24&amp;"*")</f>
        <v>2</v>
      </c>
      <c r="C24" s="7" t="n">
        <f aca="false">IF(B24=0,"-",RANK(B24,$B$23:$B$29))</f>
        <v>5</v>
      </c>
      <c r="D24" s="7" t="str">
        <f aca="false">IF(B24=0,"",IF(C24&gt;3,"",IF(COUNTIF($B$23:$B$29,B24)&gt;1,"공동 ","")&amp;C24&amp;"위"))</f>
        <v/>
      </c>
    </row>
    <row r="25" customFormat="false" ht="17.15" hidden="false" customHeight="false" outlineLevel="0" collapsed="false">
      <c r="A25" s="6" t="s">
        <v>82</v>
      </c>
      <c r="B25" s="7" t="n">
        <f aca="false">COUNTIF(input_data!$G$2:$G$11,"*"&amp;A25&amp;"*")</f>
        <v>3</v>
      </c>
      <c r="C25" s="7" t="n">
        <f aca="false">IF(B25=0,"-",RANK(B25,$B$23:$B$29))</f>
        <v>3</v>
      </c>
      <c r="D25" s="7" t="str">
        <f aca="false">IF(B25=0,"",IF(C25&gt;3,"",IF(COUNTIF($B$23:$B$29,B25)&gt;1,"공동 ","")&amp;C25&amp;"위"))</f>
        <v>공동 3위</v>
      </c>
    </row>
    <row r="26" customFormat="false" ht="17.15" hidden="false" customHeight="false" outlineLevel="0" collapsed="false">
      <c r="A26" s="6" t="s">
        <v>83</v>
      </c>
      <c r="B26" s="7" t="n">
        <f aca="false">COUNTIF(input_data!$G$2:$G$11,"*"&amp;A26&amp;"*")</f>
        <v>6</v>
      </c>
      <c r="C26" s="7" t="n">
        <f aca="false">IF(B26=0,"-",RANK(B26,$B$23:$B$29))</f>
        <v>2</v>
      </c>
      <c r="D26" s="7" t="str">
        <f aca="false">IF(B26=0,"",IF(C26&gt;3,"",IF(COUNTIF($B$23:$B$29,B26)&gt;1,"공동 ","")&amp;C26&amp;"위"))</f>
        <v>2위</v>
      </c>
    </row>
    <row r="27" customFormat="false" ht="17.15" hidden="false" customHeight="false" outlineLevel="0" collapsed="false">
      <c r="A27" s="6" t="s">
        <v>42</v>
      </c>
      <c r="B27" s="7" t="n">
        <f aca="false">COUNTIF(input_data!$G$2:$G$11,"*"&amp;A27&amp;"*")</f>
        <v>3</v>
      </c>
      <c r="C27" s="7" t="n">
        <f aca="false">IF(B27=0,"-",RANK(B27,$B$23:$B$29))</f>
        <v>3</v>
      </c>
      <c r="D27" s="7" t="str">
        <f aca="false">IF(B27=0,"",IF(C27&gt;3,"",IF(COUNTIF($B$23:$B$29,B27)&gt;1,"공동 ","")&amp;C27&amp;"위"))</f>
        <v>공동 3위</v>
      </c>
    </row>
    <row r="28" customFormat="false" ht="15" hidden="false" customHeight="false" outlineLevel="0" collapsed="false">
      <c r="A28" s="6" t="s">
        <v>21</v>
      </c>
      <c r="B28" s="7" t="n">
        <f aca="false">COUNTIF(input_data!$G$2:$G$11,"*"&amp;A28&amp;"*")</f>
        <v>2</v>
      </c>
      <c r="C28" s="7" t="n">
        <f aca="false">IF(B28=0,"-",RANK(B28,$B$23:$B$29))</f>
        <v>5</v>
      </c>
      <c r="D28" s="7" t="str">
        <f aca="false">IF(B28=0,"",IF(C28&gt;3,"",IF(COUNTIF($B$23:$B$29,B28)&gt;1,"공동 ","")&amp;C28&amp;"위"))</f>
        <v/>
      </c>
    </row>
    <row r="29" customFormat="false" ht="15" hidden="false" customHeight="false" outlineLevel="0" collapsed="false">
      <c r="A29" s="6" t="s">
        <v>32</v>
      </c>
      <c r="B29" s="7" t="n">
        <f aca="false">COUNTIF(input_data!$G$2:$G$11,"*"&amp;A29&amp;"*")</f>
        <v>1</v>
      </c>
      <c r="C29" s="7" t="n">
        <f aca="false">IF(B29=0,"-",RANK(B29,$B$23:$B$29))</f>
        <v>7</v>
      </c>
      <c r="D29" s="7" t="str">
        <f aca="false">IF(B29=0,"",IF(C29&gt;3,"",IF(COUNTIF($B$23:$B$29,B29)&gt;1,"공동 ","")&amp;C29&amp;"위"))</f>
        <v/>
      </c>
    </row>
    <row r="31" customFormat="false" ht="17.15" hidden="false" customHeight="false" outlineLevel="0" collapsed="false">
      <c r="A31" s="1" t="s">
        <v>153</v>
      </c>
      <c r="B31" s="1" t="s">
        <v>142</v>
      </c>
      <c r="C31" s="1" t="s">
        <v>143</v>
      </c>
      <c r="D31" s="1" t="s">
        <v>144</v>
      </c>
    </row>
    <row r="32" customFormat="false" ht="15" hidden="false" customHeight="false" outlineLevel="0" collapsed="false">
      <c r="A32" s="6" t="s">
        <v>81</v>
      </c>
      <c r="B32" s="7" t="n">
        <f aca="false">COUNTIF(input_data!$H$2:$H$11,"*"&amp;A32&amp;"*")</f>
        <v>0</v>
      </c>
      <c r="C32" s="7" t="str">
        <f aca="false">IF(B32=0,"-",RANK(B32,$B$32:$B$38))</f>
        <v>-</v>
      </c>
      <c r="D32" s="7" t="str">
        <f aca="false">IF(B32=0,"",IF(C32&gt;3,"",IF(COUNTIF($B$32:$B$38,B32)&gt;1,"공동 ","")&amp;C32&amp;"위"))</f>
        <v/>
      </c>
    </row>
    <row r="33" customFormat="false" ht="17.15" hidden="false" customHeight="false" outlineLevel="0" collapsed="false">
      <c r="A33" s="6" t="s">
        <v>14</v>
      </c>
      <c r="B33" s="7" t="n">
        <f aca="false">COUNTIF(input_data!$H$2:$H$11,"*"&amp;A33&amp;"*")</f>
        <v>5</v>
      </c>
      <c r="C33" s="7" t="n">
        <f aca="false">IF(B33=0,"-",RANK(B33,$B$32:$B$38))</f>
        <v>1</v>
      </c>
      <c r="D33" s="7" t="str">
        <f aca="false">IF(B33=0,"",IF(C33&gt;3,"",IF(COUNTIF($B$32:$B$38,B33)&gt;1,"공동 ","")&amp;C33&amp;"위"))</f>
        <v>1위</v>
      </c>
    </row>
    <row r="34" customFormat="false" ht="15" hidden="false" customHeight="false" outlineLevel="0" collapsed="false">
      <c r="A34" s="6" t="s">
        <v>82</v>
      </c>
      <c r="B34" s="7" t="n">
        <f aca="false">COUNTIF(input_data!$H$2:$H$11,"*"&amp;A34&amp;"*")</f>
        <v>1</v>
      </c>
      <c r="C34" s="7" t="n">
        <f aca="false">IF(B34=0,"-",RANK(B34,$B$32:$B$38))</f>
        <v>5</v>
      </c>
      <c r="D34" s="7" t="str">
        <f aca="false">IF(B34=0,"",IF(C34&gt;3,"",IF(COUNTIF($B$32:$B$38,B34)&gt;1,"공동 ","")&amp;C34&amp;"위"))</f>
        <v/>
      </c>
    </row>
    <row r="35" customFormat="false" ht="15" hidden="false" customHeight="false" outlineLevel="0" collapsed="false">
      <c r="A35" s="6" t="s">
        <v>83</v>
      </c>
      <c r="B35" s="7" t="n">
        <f aca="false">COUNTIF(input_data!$H$2:$H$11,"*"&amp;A35&amp;"*")</f>
        <v>0</v>
      </c>
      <c r="C35" s="7" t="str">
        <f aca="false">IF(B35=0,"-",RANK(B35,$B$32:$B$38))</f>
        <v>-</v>
      </c>
      <c r="D35" s="7" t="str">
        <f aca="false">IF(B35=0,"",IF(C35&gt;3,"",IF(COUNTIF($B$32:$B$38,B35)&gt;1,"공동 ","")&amp;C35&amp;"위"))</f>
        <v/>
      </c>
    </row>
    <row r="36" customFormat="false" ht="17.15" hidden="false" customHeight="false" outlineLevel="0" collapsed="false">
      <c r="A36" s="6" t="s">
        <v>42</v>
      </c>
      <c r="B36" s="7" t="n">
        <f aca="false">COUNTIF(input_data!$H$2:$H$11,"*"&amp;A36&amp;"*")</f>
        <v>2</v>
      </c>
      <c r="C36" s="7" t="n">
        <f aca="false">IF(B36=0,"-",RANK(B36,$B$32:$B$38))</f>
        <v>3</v>
      </c>
      <c r="D36" s="7" t="str">
        <f aca="false">IF(B36=0,"",IF(C36&gt;3,"",IF(COUNTIF($B$32:$B$38,B36)&gt;1,"공동 ","")&amp;C36&amp;"위"))</f>
        <v>공동 3위</v>
      </c>
    </row>
    <row r="37" customFormat="false" ht="17.15" hidden="false" customHeight="false" outlineLevel="0" collapsed="false">
      <c r="A37" s="6" t="s">
        <v>21</v>
      </c>
      <c r="B37" s="7" t="n">
        <f aca="false">COUNTIF(input_data!$H$2:$H$11,"*"&amp;A37&amp;"*")</f>
        <v>3</v>
      </c>
      <c r="C37" s="7" t="n">
        <f aca="false">IF(B37=0,"-",RANK(B37,$B$32:$B$38))</f>
        <v>2</v>
      </c>
      <c r="D37" s="7" t="str">
        <f aca="false">IF(B37=0,"",IF(C37&gt;3,"",IF(COUNTIF($B$32:$B$38,B37)&gt;1,"공동 ","")&amp;C37&amp;"위"))</f>
        <v>2위</v>
      </c>
    </row>
    <row r="38" customFormat="false" ht="17.15" hidden="false" customHeight="false" outlineLevel="0" collapsed="false">
      <c r="A38" s="6" t="s">
        <v>32</v>
      </c>
      <c r="B38" s="7" t="n">
        <f aca="false">COUNTIF(input_data!$H$2:$H$11,"*"&amp;A38&amp;"*")</f>
        <v>2</v>
      </c>
      <c r="C38" s="7" t="n">
        <f aca="false">IF(B38=0,"-",RANK(B38,$B$32:$B$38))</f>
        <v>3</v>
      </c>
      <c r="D38" s="7" t="str">
        <f aca="false">IF(B38=0,"",IF(C38&gt;3,"",IF(COUNTIF($B$32:$B$38,B38)&gt;1,"공동 ","")&amp;C38&amp;"위"))</f>
        <v>공동 3위</v>
      </c>
    </row>
    <row r="40" customFormat="false" ht="17.15" hidden="false" customHeight="false" outlineLevel="0" collapsed="false">
      <c r="A40" s="1" t="s">
        <v>87</v>
      </c>
      <c r="B40" s="1" t="s">
        <v>142</v>
      </c>
      <c r="C40" s="1"/>
      <c r="D40" s="1"/>
    </row>
    <row r="41" customFormat="false" ht="15" hidden="false" customHeight="false" outlineLevel="0" collapsed="false">
      <c r="A41" s="7" t="s">
        <v>15</v>
      </c>
      <c r="B41" s="7" t="n">
        <f aca="false">COUNTIF(input_data!$I$2:$I$11,A41)</f>
        <v>5</v>
      </c>
    </row>
    <row r="42" customFormat="false" ht="15" hidden="false" customHeight="false" outlineLevel="0" collapsed="false">
      <c r="A42" s="7" t="s">
        <v>28</v>
      </c>
      <c r="B42" s="7" t="n">
        <f aca="false">COUNTIF(input_data!$I$2:$I$11,A42)</f>
        <v>3</v>
      </c>
    </row>
    <row r="43" customFormat="false" ht="15" hidden="false" customHeight="false" outlineLevel="0" collapsed="false">
      <c r="A43" s="7" t="s">
        <v>37</v>
      </c>
      <c r="B43" s="7" t="n">
        <f aca="false">COUNTIF(input_data!$I$2:$I$11,A43)</f>
        <v>2</v>
      </c>
    </row>
    <row r="45" customFormat="false" ht="15" hidden="false" customHeight="false" outlineLevel="0" collapsed="false">
      <c r="A45" s="8" t="s">
        <v>154</v>
      </c>
      <c r="B45" s="8" t="n">
        <f aca="false">COUNTIF(input_data!$D$2:$D$11,"?*")</f>
        <v>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</cols>
  <sheetData>
    <row r="1" customFormat="false" ht="17.15" hidden="false" customHeight="false" outlineLevel="0" collapsed="false">
      <c r="A1" s="8" t="s">
        <v>155</v>
      </c>
    </row>
    <row r="3" customFormat="false" ht="17.15" hidden="false" customHeight="false" outlineLevel="0" collapsed="false">
      <c r="A3" s="9" t="s">
        <v>156</v>
      </c>
    </row>
    <row r="4" customFormat="false" ht="15" hidden="false" customHeight="false" outlineLevel="0" collapsed="false">
      <c r="A4" s="9"/>
    </row>
    <row r="5" customFormat="false" ht="15" hidden="false" customHeight="false" outlineLevel="0" collapsed="false">
      <c r="A5" s="10" t="s">
        <v>157</v>
      </c>
    </row>
    <row r="6" customFormat="false" ht="17.15" hidden="false" customHeight="false" outlineLevel="0" collapsed="false">
      <c r="A6" s="9" t="s">
        <v>158</v>
      </c>
    </row>
    <row r="7" customFormat="false" ht="17.15" hidden="false" customHeight="false" outlineLevel="0" collapsed="false">
      <c r="A7" s="9" t="s">
        <v>159</v>
      </c>
    </row>
    <row r="8" customFormat="false" ht="17.15" hidden="false" customHeight="false" outlineLevel="0" collapsed="false">
      <c r="A8" s="10" t="s">
        <v>160</v>
      </c>
    </row>
    <row r="9" customFormat="false" ht="15" hidden="false" customHeight="false" outlineLevel="0" collapsed="false">
      <c r="A9" s="10" t="s">
        <v>70</v>
      </c>
    </row>
    <row r="10" customFormat="false" ht="17.15" hidden="false" customHeight="false" outlineLevel="0" collapsed="false">
      <c r="A10" s="9" t="s">
        <v>161</v>
      </c>
    </row>
    <row r="11" customFormat="false" ht="17.15" hidden="false" customHeight="false" outlineLevel="0" collapsed="false">
      <c r="A11" s="9" t="s">
        <v>162</v>
      </c>
    </row>
    <row r="12" customFormat="false" ht="17.15" hidden="false" customHeight="false" outlineLevel="0" collapsed="false">
      <c r="A12" s="10" t="s">
        <v>163</v>
      </c>
    </row>
    <row r="13" customFormat="false" ht="15" hidden="false" customHeight="false" outlineLevel="0" collapsed="false">
      <c r="A13" s="10" t="s">
        <v>80</v>
      </c>
    </row>
    <row r="14" customFormat="false" ht="17.15" hidden="false" customHeight="false" outlineLevel="0" collapsed="false">
      <c r="A14" s="10" t="s">
        <v>164</v>
      </c>
    </row>
    <row r="15" customFormat="false" ht="15" hidden="false" customHeight="false" outlineLevel="0" collapsed="false">
      <c r="A15" s="10" t="s">
        <v>165</v>
      </c>
    </row>
    <row r="16" customFormat="false" ht="15" hidden="false" customHeight="false" outlineLevel="0" collapsed="false">
      <c r="A16" s="10" t="s">
        <v>166</v>
      </c>
    </row>
    <row r="17" customFormat="false" ht="15" hidden="false" customHeight="false" outlineLevel="0" collapsed="false">
      <c r="A17" s="9" t="s">
        <v>167</v>
      </c>
    </row>
    <row r="18" customFormat="false" ht="15" hidden="false" customHeight="false" outlineLevel="0" collapsed="false">
      <c r="A18" s="9"/>
    </row>
    <row r="19" customFormat="false" ht="17.15" hidden="false" customHeight="false" outlineLevel="0" collapsed="false">
      <c r="A19" s="10" t="s">
        <v>168</v>
      </c>
    </row>
    <row r="21" customFormat="false" ht="14.15" hidden="false" customHeight="false" outlineLevel="0" collapsed="false">
      <c r="A21" s="5" t="s">
        <v>169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2026-10-02T15:49:35Z</dcterms:created>
  <dc:creator>openpyxl</dc:creator>
  <dc:description/>
  <dc:language>en-US</dc:language>
  <cp:lastModifiedBy/>
  <dcterms:modified xsi:type="dcterms:W3CDTF">2026-10-02T15:49:35Z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